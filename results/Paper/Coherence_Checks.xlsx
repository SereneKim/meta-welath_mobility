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enekim/Desktop/PhD/meta-wealth_mobility/results/Paper/"/>
    </mc:Choice>
  </mc:AlternateContent>
  <xr:revisionPtr revIDLastSave="0" documentId="13_ncr:1_{4460B4D9-00AB-F243-8C91-B08FDD25B6E9}" xr6:coauthVersionLast="47" xr6:coauthVersionMax="47" xr10:uidLastSave="{00000000-0000-0000-0000-000000000000}"/>
  <bookViews>
    <workbookView xWindow="0" yWindow="760" windowWidth="30240" windowHeight="18880" activeTab="4" xr2:uid="{61336224-A991-174C-AD6A-3B8FC1749F25}"/>
  </bookViews>
  <sheets>
    <sheet name="For Printing" sheetId="1" r:id="rId1"/>
    <sheet name="RQ" sheetId="5" r:id="rId2"/>
    <sheet name="data" sheetId="4" r:id="rId3"/>
    <sheet name="method" sheetId="3" r:id="rId4"/>
    <sheet name="Result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2" l="1"/>
  <c r="G13" i="2"/>
  <c r="C18" i="2"/>
  <c r="C17" i="2"/>
  <c r="K11" i="2"/>
  <c r="G12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3" i="2"/>
  <c r="G4" i="2"/>
  <c r="G5" i="2"/>
  <c r="G6" i="2"/>
  <c r="G7" i="2"/>
  <c r="G8" i="2"/>
  <c r="G9" i="2"/>
  <c r="G10" i="2"/>
  <c r="G11" i="2"/>
  <c r="G3" i="2"/>
  <c r="K4" i="2"/>
  <c r="K5" i="2"/>
  <c r="K6" i="2"/>
  <c r="K7" i="2"/>
  <c r="K8" i="2"/>
  <c r="K9" i="2"/>
  <c r="K10" i="2"/>
  <c r="K3" i="2"/>
</calcChain>
</file>

<file path=xl/sharedStrings.xml><?xml version="1.0" encoding="utf-8"?>
<sst xmlns="http://schemas.openxmlformats.org/spreadsheetml/2006/main" count="523" uniqueCount="206">
  <si>
    <t>Panel Data / Longitudinal Surveys</t>
  </si>
  <si>
    <t>Administrative / Census / Register Data</t>
  </si>
  <si>
    <t>Survey Data (Cross‐sectional non‐panel)</t>
  </si>
  <si>
    <t>Qualitative / Interview Methods</t>
  </si>
  <si>
    <t>No Dataset</t>
  </si>
  <si>
    <t>Others</t>
  </si>
  <si>
    <t>Panel Survey Data</t>
  </si>
  <si>
    <t>Administrative / Census Data</t>
  </si>
  <si>
    <t>Rich List Data</t>
  </si>
  <si>
    <t>Qualitative / Mixed Methods</t>
  </si>
  <si>
    <t>No dataset</t>
  </si>
  <si>
    <t>Administrative/Registry/Tax Data</t>
  </si>
  <si>
    <t>Census Data</t>
  </si>
  <si>
    <t>Survey Data</t>
  </si>
  <si>
    <t>Facebook Data</t>
  </si>
  <si>
    <t>Historical/Archival Data</t>
  </si>
  <si>
    <t>Mixed Methods Data</t>
  </si>
  <si>
    <t>Pseudo-panel Data</t>
  </si>
  <si>
    <t>National Longitudinal Surveys</t>
  </si>
  <si>
    <t>Administrative/Registry/Census Data</t>
  </si>
  <si>
    <t>Specialized Datasets</t>
  </si>
  <si>
    <t>Administrative Data</t>
  </si>
  <si>
    <t>National Household/Census Survey Data</t>
  </si>
  <si>
    <t>Social Mobility Project / Big Data</t>
  </si>
  <si>
    <t>Natural Experiment Data</t>
  </si>
  <si>
    <t>Qualitative / Interview Data</t>
  </si>
  <si>
    <t>Administrative/Census/Registry Data</t>
  </si>
  <si>
    <t>Survey/Panel Data</t>
  </si>
  <si>
    <t>Big Data/Social Media</t>
  </si>
  <si>
    <t>Mixed Methods/Qualitative</t>
  </si>
  <si>
    <t>Longitudinal Panel Surveys</t>
  </si>
  <si>
    <t>Administrative/Register Data</t>
  </si>
  <si>
    <t>Linked/Combined Data</t>
  </si>
  <si>
    <t>Qualitative/Mixed Methods</t>
  </si>
  <si>
    <t>Combined/Linked Datasets</t>
  </si>
  <si>
    <t>Natural/Quasi‐Experimental Data</t>
  </si>
  <si>
    <t>US Panel Survey Data</t>
  </si>
  <si>
    <t>US Administrative Data</t>
  </si>
  <si>
    <t>European Register/Survey Data</t>
  </si>
  <si>
    <t>Chinese Surveys</t>
  </si>
  <si>
    <t>Other Country-Specific Data</t>
  </si>
  <si>
    <t>Global/International Datasets</t>
  </si>
  <si>
    <t>Methodological and Measurement Approaches</t>
  </si>
  <si>
    <t>Empirical Estimation of Intergenerational Mobility and Determinants</t>
  </si>
  <si>
    <t>Policy and Institutional Effects on Mobility</t>
  </si>
  <si>
    <t>Intergenerational Mobility and Its Consequences on Other Outcomes</t>
  </si>
  <si>
    <t>Comparative and Cross-National Studies</t>
  </si>
  <si>
    <t>Mobility among Specific Groups (Race, Gender, Immigrants, Family Structure)</t>
  </si>
  <si>
    <t>Intergenerational Wealth Mobility and Housing</t>
  </si>
  <si>
    <t>Measurement and Methodology</t>
  </si>
  <si>
    <t>Policy and Institutional Effects</t>
  </si>
  <si>
    <t>Race, Ethnicity and Gender Differences</t>
  </si>
  <si>
    <t>Spatial and Regional Effects</t>
  </si>
  <si>
    <t>Wealth and Inheritance Transmission</t>
  </si>
  <si>
    <t>Cross‐Country Comparative Studies</t>
  </si>
  <si>
    <t>Effects on Non‐Income Outcomes</t>
  </si>
  <si>
    <t>Economic Shocks and Structural Changes</t>
  </si>
  <si>
    <t>Measurement and Estimation</t>
  </si>
  <si>
    <t>Role of Education</t>
  </si>
  <si>
    <t>Intergenerational Wealth Mobility</t>
  </si>
  <si>
    <t>Spatial/Neighborhood Effects</t>
  </si>
  <si>
    <t>Racial/Ethnic/Immigrant Differences</t>
  </si>
  <si>
    <t>Policy Impacts on Mobility</t>
  </si>
  <si>
    <t>Intergenerational Mobility and Health/Wellbeing</t>
  </si>
  <si>
    <t>Gender and Family Structure Effects</t>
  </si>
  <si>
    <t>Methodology / Sample Issues</t>
  </si>
  <si>
    <t>Multigenerational / Long-run Mobility</t>
  </si>
  <si>
    <t>Entrepreneurship and Mobility</t>
  </si>
  <si>
    <t>Financial/Credit Effects</t>
  </si>
  <si>
    <t>Intergenerational Mobility in Developing Countries</t>
  </si>
  <si>
    <t>Intergenerational Mobility in Developed/Post-Soviet Countries</t>
  </si>
  <si>
    <t>Global Comparative Analysis</t>
  </si>
  <si>
    <t>Intergenerational Mobility and Trust/Political Attitudes</t>
  </si>
  <si>
    <t>Measurement Differences: Absolute vs Relative</t>
  </si>
  <si>
    <t>Intergenerational Mobility and Poverty</t>
  </si>
  <si>
    <t>Housing and Mobility</t>
  </si>
  <si>
    <t>Literature/Theory/Review</t>
  </si>
  <si>
    <t>Non-traditional Determinants</t>
  </si>
  <si>
    <t>Intergenerational Mobility and Inequality</t>
  </si>
  <si>
    <t>Intergenerational Income Mobility</t>
  </si>
  <si>
    <t>Role of Education / Human Capital</t>
  </si>
  <si>
    <t>Spatial / Geographic Effects</t>
  </si>
  <si>
    <t>Race/Ethnicity/Gender Effects</t>
  </si>
  <si>
    <t>Methodology and Measurement Approaches</t>
  </si>
  <si>
    <t>Determinants and Mechanisms</t>
  </si>
  <si>
    <t>Policy and Institutional Impact</t>
  </si>
  <si>
    <t>Place and Neighborhood Effects</t>
  </si>
  <si>
    <t>Racial, Ethnic, and Gender Differences</t>
  </si>
  <si>
    <t>Mobility and Health Outcomes</t>
  </si>
  <si>
    <t>Historical/Multigenerational Studies</t>
  </si>
  <si>
    <t>Empirical Estimates and Trends</t>
  </si>
  <si>
    <t>Policy and External Shocks</t>
  </si>
  <si>
    <t>Spatial/Geographic Effects</t>
  </si>
  <si>
    <t>Racial, Ethnic, and Immigrant Disparities</t>
  </si>
  <si>
    <t>Social Outcomes (Health, Wellbeing, Crime, etc.)</t>
  </si>
  <si>
    <t>Historical and Multigenerational Studies</t>
  </si>
  <si>
    <t>Normative and Theoretical Critiques</t>
  </si>
  <si>
    <t>Theoretical and Methodological Approaches</t>
  </si>
  <si>
    <t>Determinants: Family Background and Personal Characteristics</t>
  </si>
  <si>
    <t>Cross‐Country, Comparative and Historical Studies</t>
  </si>
  <si>
    <t>Race, Gender, and Immigrant Effects</t>
  </si>
  <si>
    <t>Longitudinal/Multigenerational Studies</t>
  </si>
  <si>
    <t>Effects on Health, Wellbeing and Other Outcomes</t>
  </si>
  <si>
    <t>Measurement &amp; Methodology</t>
  </si>
  <si>
    <t>Determinants and Family/Parental Factors</t>
  </si>
  <si>
    <t>Role of Education &amp; Human Capital</t>
  </si>
  <si>
    <t>Public Policy, Fiscal &amp; Welfare Effects</t>
  </si>
  <si>
    <t>Geographic/Place Effects</t>
  </si>
  <si>
    <t>Occupational &amp; Elite Mobility</t>
  </si>
  <si>
    <t>Racial/Ethnic/Gender Differences</t>
  </si>
  <si>
    <t>Effects on Health &amp; Wellbeing</t>
  </si>
  <si>
    <t>Immigration/Migration Effects</t>
  </si>
  <si>
    <t>Theoretical Models / Reviews &amp; Multigenerational Models</t>
  </si>
  <si>
    <t>International/Cross-Country Comparisons</t>
  </si>
  <si>
    <t>Effects on Crime &amp; Violence</t>
  </si>
  <si>
    <t>Political &amp; Attitudinal Effects</t>
  </si>
  <si>
    <t>Subjective Perceptions &amp; Attitudes</t>
  </si>
  <si>
    <t>Historical/Multigenerational Mobility</t>
  </si>
  <si>
    <t>Poverty and Disadvantaged Group Mobility</t>
  </si>
  <si>
    <t>Country-Specific Studies</t>
  </si>
  <si>
    <t>Trends and Determinants of Income Mobility</t>
  </si>
  <si>
    <t>Wealth Mobility</t>
  </si>
  <si>
    <t>Educational Mobility</t>
  </si>
  <si>
    <t>Demographic and Individual Differences</t>
  </si>
  <si>
    <t>Effects on Other Outcomes</t>
  </si>
  <si>
    <t>Multigenerational Mobility</t>
  </si>
  <si>
    <t>Elite Mobility and Class Reproduction</t>
  </si>
  <si>
    <t>Intergenerational Income Elasticity (IGE) Measures</t>
  </si>
  <si>
    <t>Rank‐Based Measures</t>
  </si>
  <si>
    <t>Transition Matrix / Probability Measures</t>
  </si>
  <si>
    <t>Absolute Mobility Measures</t>
  </si>
  <si>
    <t>Wealth Mobility Measures</t>
  </si>
  <si>
    <t>Multigenerational Mobility Measures</t>
  </si>
  <si>
    <t>Subjective Mobility Measures</t>
  </si>
  <si>
    <t>Transition Matrix/Mobility Rates Measures</t>
  </si>
  <si>
    <t>Sibling Correlation Measures</t>
  </si>
  <si>
    <t>Income Elasticity (IGE)</t>
  </si>
  <si>
    <t>Rank-based Measures</t>
  </si>
  <si>
    <t>Transition Matrices/Probabilities</t>
  </si>
  <si>
    <t>Sibling Correlations</t>
  </si>
  <si>
    <t>Structural/Lifetime Models</t>
  </si>
  <si>
    <t>Income Elasticity Measures</t>
  </si>
  <si>
    <t>Educational Mobility Measures</t>
  </si>
  <si>
    <t>Transition/Absolute Mobility Measures</t>
  </si>
  <si>
    <t>Structural/Multigenerational Models</t>
  </si>
  <si>
    <t>IGE</t>
  </si>
  <si>
    <t>RankBased</t>
  </si>
  <si>
    <t>TransitionMatrix</t>
  </si>
  <si>
    <t>AbsoluteMobility</t>
  </si>
  <si>
    <t>StructuralModels</t>
  </si>
  <si>
    <t>NonparametricML</t>
  </si>
  <si>
    <t>Transition Matrix Measures</t>
  </si>
  <si>
    <t>Structural/Decomposition Model Estimates</t>
  </si>
  <si>
    <t>Intergenerational Income Elasticity</t>
  </si>
  <si>
    <t>Transition Matrices</t>
  </si>
  <si>
    <t>Absolute Mobility Rates</t>
  </si>
  <si>
    <t>IGE-based</t>
  </si>
  <si>
    <t>Rank-based</t>
  </si>
  <si>
    <t>Transition Matrix</t>
  </si>
  <si>
    <t>Structural Decomposition</t>
  </si>
  <si>
    <t>Machine Learning/Novel Methods</t>
  </si>
  <si>
    <t>Count</t>
  </si>
  <si>
    <t>Count: Data Types</t>
  </si>
  <si>
    <t>Count: RQ Types</t>
  </si>
  <si>
    <t>Count: Methods</t>
  </si>
  <si>
    <t xml:space="preserve"> Regression‐based Measures </t>
  </si>
  <si>
    <t xml:space="preserve"> Rank‐based Measures</t>
  </si>
  <si>
    <t xml:space="preserve"> Transition Matrix / Probability Measures</t>
  </si>
  <si>
    <t xml:space="preserve"> Absolute Mobility Measures</t>
  </si>
  <si>
    <t xml:space="preserve"> Multigenerational Measures</t>
  </si>
  <si>
    <t xml:space="preserve"> Decomposition / Structural Approaches</t>
  </si>
  <si>
    <t xml:space="preserve"> Non‐parametric Approaches</t>
  </si>
  <si>
    <t xml:space="preserve"> Others</t>
  </si>
  <si>
    <t>Number</t>
  </si>
  <si>
    <t>Category</t>
  </si>
  <si>
    <t>Method</t>
  </si>
  <si>
    <t>Data</t>
  </si>
  <si>
    <t>RQ</t>
  </si>
  <si>
    <t xml:space="preserve">	Panel/Longitudinal Surveys</t>
  </si>
  <si>
    <t xml:space="preserve">	Administrative/Registry Data</t>
  </si>
  <si>
    <t xml:space="preserve">	National Survey Data</t>
  </si>
  <si>
    <t xml:space="preserve">	Opportunity Atlas</t>
  </si>
  <si>
    <t xml:space="preserve">	Natural/Experimental Data</t>
  </si>
  <si>
    <t xml:space="preserve">	Linked Administrative Data</t>
  </si>
  <si>
    <t xml:space="preserve">	International Panel Data</t>
  </si>
  <si>
    <t xml:space="preserve">	Rich List Data</t>
  </si>
  <si>
    <t xml:space="preserve">	University/Institution Data</t>
  </si>
  <si>
    <t xml:space="preserve">	Pseudo-Panel/Household Budget Survey</t>
  </si>
  <si>
    <t xml:space="preserve">	Archival/Historical Data</t>
  </si>
  <si>
    <t xml:space="preserve">	Big Data</t>
  </si>
  <si>
    <t xml:space="preserve">	No dataset</t>
  </si>
  <si>
    <t xml:space="preserve">	Others</t>
  </si>
  <si>
    <t xml:space="preserve">	Measurement and Methodological Advances</t>
  </si>
  <si>
    <t xml:space="preserve">	Empirical Estimates and Determinants</t>
  </si>
  <si>
    <t xml:space="preserve">	Policy, Institutional, and Geographic Impacts</t>
  </si>
  <si>
    <t xml:space="preserve">	Intergenerational Wealth Mobility and Inheritance</t>
  </si>
  <si>
    <t xml:space="preserve">	Theoretical and Structural Models</t>
  </si>
  <si>
    <t xml:space="preserve">	Perceptions of Mobility and Attitudes</t>
  </si>
  <si>
    <t xml:space="preserve">	Demographic Differences in Mobility (Race, Gender, etc)</t>
  </si>
  <si>
    <t xml:space="preserve">	Mobility and Non-Income Outcomes (Health, Wellbeing, etc)</t>
  </si>
  <si>
    <t>N/A</t>
  </si>
  <si>
    <t>None</t>
  </si>
  <si>
    <t>The number of others larger than 10 already gives the idea that 'data_types' is not that consistent. Although it does consistently mention the first three categories albeit in different ways.</t>
  </si>
  <si>
    <t>Also here, 'Others' went over 10 although 5 categories occurred ≥5 times. This alludes that probably many papers are still not directly about studying wealth mobility in an empirical way or theoretically studying the methodologies of it.</t>
  </si>
  <si>
    <t>Multigenerational measures and non-parametric approaches don't appear much. There are 7 N/A's which may indicate that 8 categories are maybe too much to describe the methods that the papers actually discussed in their abstracts. (These N/A's were not related to measuring wealth/income/earning mobility) So also, it shows that some papers probably don't really study mobility as I want.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</si>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</sst>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FF0000"/>
      <name val="Helvetica Neue"/>
      <family val="2"/>
    </font>
    <font>
      <sz val="12"/>
      <color theme="5"/>
      <name val="Aptos Narrow"/>
      <family val="2"/>
      <scheme val="minor"/>
    </font>
    <font>
      <sz val="10"/>
      <color theme="5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2" fillId="3" borderId="0" xfId="0" applyFont="1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0" fillId="4" borderId="0" xfId="0" applyFill="1"/>
    <xf numFmtId="0" fontId="2" fillId="4" borderId="0" xfId="0" applyFont="1" applyFill="1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0" fillId="3" borderId="1" xfId="0" applyFill="1" applyBorder="1"/>
    <xf numFmtId="0" fontId="3" fillId="3" borderId="1" xfId="0" applyFont="1" applyFill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1" fillId="3" borderId="1" xfId="0" applyFont="1" applyFill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79DE4-B5E3-2A49-8677-C163D55995F4}">
  <dimension ref="A1:X50"/>
  <sheetViews>
    <sheetView zoomScaleNormal="100" zoomScaleSheetLayoutView="200" zoomScalePageLayoutView="85" workbookViewId="0">
      <selection activeCell="G17" sqref="G17"/>
    </sheetView>
  </sheetViews>
  <sheetFormatPr baseColWidth="10" defaultRowHeight="16" x14ac:dyDescent="0.2"/>
  <cols>
    <col min="1" max="1" width="33.83203125" style="6" customWidth="1"/>
    <col min="2" max="2" width="5.6640625" style="6" customWidth="1"/>
    <col min="3" max="3" width="31.5" style="6" customWidth="1"/>
    <col min="4" max="4" width="5.1640625" style="6" customWidth="1"/>
    <col min="5" max="6" width="5.1640625" style="6" hidden="1" customWidth="1"/>
    <col min="7" max="7" width="61.33203125" bestFit="1" customWidth="1"/>
    <col min="9" max="9" width="49" bestFit="1" customWidth="1"/>
    <col min="13" max="13" width="53.5" customWidth="1"/>
    <col min="16" max="16" width="42.83203125" bestFit="1" customWidth="1"/>
    <col min="17" max="17" width="7.1640625" customWidth="1"/>
    <col min="18" max="18" width="21.1640625" hidden="1" customWidth="1"/>
    <col min="19" max="19" width="0" hidden="1" customWidth="1"/>
    <col min="20" max="20" width="33.5" customWidth="1"/>
    <col min="21" max="21" width="7.33203125" customWidth="1"/>
    <col min="22" max="24" width="0" hidden="1" customWidth="1"/>
  </cols>
  <sheetData>
    <row r="1" spans="1:24" s="1" customFormat="1" x14ac:dyDescent="0.2">
      <c r="A1" s="7">
        <v>2</v>
      </c>
      <c r="B1" s="7"/>
      <c r="C1" s="7">
        <v>3</v>
      </c>
      <c r="D1" s="7"/>
      <c r="E1" s="16"/>
      <c r="F1" s="16"/>
      <c r="G1" s="9">
        <v>2</v>
      </c>
      <c r="H1" s="9"/>
      <c r="I1" s="9">
        <v>5</v>
      </c>
      <c r="J1" s="9"/>
      <c r="K1" s="2"/>
      <c r="L1" s="2"/>
      <c r="M1" s="9">
        <v>9</v>
      </c>
      <c r="N1" s="9"/>
      <c r="P1" s="11">
        <v>2</v>
      </c>
      <c r="Q1" s="11"/>
      <c r="R1" s="11"/>
      <c r="S1" s="11"/>
      <c r="T1" s="11">
        <v>7</v>
      </c>
      <c r="U1" s="15"/>
      <c r="V1" s="15"/>
      <c r="W1" s="15"/>
      <c r="X1" s="15"/>
    </row>
    <row r="2" spans="1:24" x14ac:dyDescent="0.2">
      <c r="A2" s="5" t="s">
        <v>0</v>
      </c>
      <c r="B2" s="5"/>
      <c r="C2" s="5" t="s">
        <v>6</v>
      </c>
      <c r="D2" s="5"/>
      <c r="E2" s="5"/>
      <c r="F2" s="5"/>
      <c r="G2" s="3" t="s">
        <v>42</v>
      </c>
      <c r="H2" s="4"/>
      <c r="I2" s="3" t="s">
        <v>79</v>
      </c>
      <c r="J2" s="4"/>
      <c r="K2" s="4"/>
      <c r="L2" s="4"/>
      <c r="M2" s="3" t="s">
        <v>103</v>
      </c>
      <c r="N2" s="4"/>
      <c r="P2" s="3" t="s">
        <v>127</v>
      </c>
      <c r="Q2" s="4">
        <v>1</v>
      </c>
      <c r="R2" s="3"/>
      <c r="S2" s="4"/>
      <c r="T2" s="3" t="s">
        <v>145</v>
      </c>
      <c r="U2">
        <v>1</v>
      </c>
    </row>
    <row r="3" spans="1:24" x14ac:dyDescent="0.2">
      <c r="A3" s="5" t="s">
        <v>1</v>
      </c>
      <c r="B3" s="5"/>
      <c r="C3" s="5" t="s">
        <v>7</v>
      </c>
      <c r="D3" s="5"/>
      <c r="E3" s="5"/>
      <c r="F3" s="5"/>
      <c r="G3" s="3" t="s">
        <v>43</v>
      </c>
      <c r="H3" s="4"/>
      <c r="I3" s="3" t="s">
        <v>59</v>
      </c>
      <c r="J3" s="4"/>
      <c r="K3" s="4"/>
      <c r="L3" s="4"/>
      <c r="M3" s="3" t="s">
        <v>104</v>
      </c>
      <c r="N3" s="4"/>
      <c r="P3" s="3" t="s">
        <v>128</v>
      </c>
      <c r="Q3" s="4">
        <v>2</v>
      </c>
      <c r="R3" s="3"/>
      <c r="S3" s="4"/>
      <c r="T3" s="3" t="s">
        <v>146</v>
      </c>
      <c r="U3">
        <v>2</v>
      </c>
    </row>
    <row r="4" spans="1:24" x14ac:dyDescent="0.2">
      <c r="A4" s="5" t="s">
        <v>2</v>
      </c>
      <c r="B4" s="5"/>
      <c r="C4" s="5" t="s">
        <v>8</v>
      </c>
      <c r="D4" s="5"/>
      <c r="E4" s="5"/>
      <c r="F4" s="5"/>
      <c r="G4" s="3" t="s">
        <v>44</v>
      </c>
      <c r="H4" s="4"/>
      <c r="I4" s="3" t="s">
        <v>80</v>
      </c>
      <c r="J4" s="4"/>
      <c r="K4" s="4"/>
      <c r="L4" s="4"/>
      <c r="M4" s="3" t="s">
        <v>105</v>
      </c>
      <c r="N4" s="4"/>
      <c r="P4" s="3" t="s">
        <v>129</v>
      </c>
      <c r="Q4" s="4">
        <v>3</v>
      </c>
      <c r="R4" s="3"/>
      <c r="S4" s="4"/>
      <c r="T4" s="3" t="s">
        <v>147</v>
      </c>
      <c r="U4">
        <v>3</v>
      </c>
    </row>
    <row r="5" spans="1:24" x14ac:dyDescent="0.2">
      <c r="A5" s="5" t="s">
        <v>3</v>
      </c>
      <c r="B5" s="5"/>
      <c r="C5" s="5" t="s">
        <v>9</v>
      </c>
      <c r="D5" s="5"/>
      <c r="E5" s="5"/>
      <c r="F5" s="5"/>
      <c r="G5" s="3" t="s">
        <v>45</v>
      </c>
      <c r="H5" s="4"/>
      <c r="I5" s="3" t="s">
        <v>50</v>
      </c>
      <c r="J5" s="4"/>
      <c r="K5" s="4"/>
      <c r="L5" s="4"/>
      <c r="M5" s="3" t="s">
        <v>106</v>
      </c>
      <c r="N5" s="4"/>
      <c r="P5" s="3" t="s">
        <v>130</v>
      </c>
      <c r="Q5" s="4">
        <v>4</v>
      </c>
      <c r="R5" s="3"/>
      <c r="S5" s="4"/>
      <c r="T5" s="3" t="s">
        <v>148</v>
      </c>
      <c r="U5">
        <v>4</v>
      </c>
    </row>
    <row r="6" spans="1:24" x14ac:dyDescent="0.2">
      <c r="A6" s="5" t="s">
        <v>4</v>
      </c>
      <c r="B6" s="5"/>
      <c r="C6" s="5" t="s">
        <v>10</v>
      </c>
      <c r="D6" s="5"/>
      <c r="E6" s="5"/>
      <c r="F6" s="5"/>
      <c r="G6" s="3" t="s">
        <v>46</v>
      </c>
      <c r="H6" s="4"/>
      <c r="I6" s="3" t="s">
        <v>81</v>
      </c>
      <c r="J6" s="4"/>
      <c r="K6" s="4"/>
      <c r="L6" s="4"/>
      <c r="M6" s="3" t="s">
        <v>107</v>
      </c>
      <c r="N6" s="4"/>
      <c r="P6" s="3" t="s">
        <v>131</v>
      </c>
      <c r="Q6" s="4"/>
      <c r="R6" s="3"/>
      <c r="S6" s="4"/>
      <c r="T6" s="3" t="s">
        <v>149</v>
      </c>
      <c r="U6">
        <v>6</v>
      </c>
    </row>
    <row r="7" spans="1:24" x14ac:dyDescent="0.2">
      <c r="A7" s="5" t="s">
        <v>5</v>
      </c>
      <c r="B7" s="5"/>
      <c r="C7" s="5" t="s">
        <v>5</v>
      </c>
      <c r="D7" s="5"/>
      <c r="E7" s="5"/>
      <c r="F7" s="5"/>
      <c r="G7" s="3" t="s">
        <v>47</v>
      </c>
      <c r="H7" s="4"/>
      <c r="I7" s="3" t="s">
        <v>82</v>
      </c>
      <c r="J7" s="4"/>
      <c r="K7" s="4"/>
      <c r="L7" s="4"/>
      <c r="M7" s="3" t="s">
        <v>59</v>
      </c>
      <c r="N7" s="4"/>
      <c r="P7" s="3" t="s">
        <v>132</v>
      </c>
      <c r="Q7" s="4">
        <v>4</v>
      </c>
      <c r="R7" s="3"/>
      <c r="S7" s="4"/>
      <c r="T7" s="3" t="s">
        <v>150</v>
      </c>
      <c r="U7">
        <v>7</v>
      </c>
    </row>
    <row r="8" spans="1:24" x14ac:dyDescent="0.2">
      <c r="G8" s="3" t="s">
        <v>48</v>
      </c>
      <c r="H8" s="4"/>
      <c r="I8" s="3" t="s">
        <v>83</v>
      </c>
      <c r="J8" s="4"/>
      <c r="K8" s="4"/>
      <c r="L8" s="4"/>
      <c r="M8" s="3" t="s">
        <v>108</v>
      </c>
      <c r="N8" s="4"/>
      <c r="P8" s="3" t="s">
        <v>133</v>
      </c>
      <c r="Q8" s="4">
        <v>8</v>
      </c>
      <c r="R8" s="4"/>
      <c r="S8" s="4"/>
      <c r="T8" s="3" t="s">
        <v>5</v>
      </c>
      <c r="U8">
        <v>8</v>
      </c>
    </row>
    <row r="9" spans="1:24" x14ac:dyDescent="0.2">
      <c r="A9" s="7">
        <v>4</v>
      </c>
      <c r="B9" s="7"/>
      <c r="C9" s="7">
        <v>5</v>
      </c>
      <c r="D9" s="7"/>
      <c r="E9" s="16"/>
      <c r="F9" s="16"/>
      <c r="G9" s="3" t="s">
        <v>5</v>
      </c>
      <c r="H9" s="4"/>
      <c r="I9" s="3" t="s">
        <v>5</v>
      </c>
      <c r="J9" s="4"/>
      <c r="K9" s="4"/>
      <c r="L9" s="4"/>
      <c r="M9" s="3" t="s">
        <v>109</v>
      </c>
      <c r="N9" s="4"/>
      <c r="P9" s="3" t="s">
        <v>5</v>
      </c>
      <c r="Q9" s="4">
        <v>8</v>
      </c>
      <c r="R9" s="4"/>
      <c r="S9" s="4"/>
      <c r="T9" s="4"/>
    </row>
    <row r="10" spans="1:24" x14ac:dyDescent="0.2">
      <c r="A10" s="5" t="s">
        <v>6</v>
      </c>
      <c r="C10" s="5" t="s">
        <v>18</v>
      </c>
      <c r="G10" s="4"/>
      <c r="H10" s="4"/>
      <c r="I10" s="4"/>
      <c r="J10" s="4"/>
      <c r="K10" s="4"/>
      <c r="L10" s="4"/>
      <c r="M10" s="3" t="s">
        <v>110</v>
      </c>
      <c r="N10" s="4"/>
      <c r="P10" s="4"/>
      <c r="Q10" s="4"/>
      <c r="R10" s="4"/>
      <c r="S10" s="4"/>
      <c r="T10" s="11">
        <v>8</v>
      </c>
      <c r="U10" s="14"/>
      <c r="V10" s="14"/>
      <c r="W10" s="14"/>
      <c r="X10" s="14"/>
    </row>
    <row r="11" spans="1:24" x14ac:dyDescent="0.2">
      <c r="A11" s="5" t="s">
        <v>11</v>
      </c>
      <c r="C11" s="5" t="s">
        <v>19</v>
      </c>
      <c r="G11" s="9">
        <v>3</v>
      </c>
      <c r="H11" s="10"/>
      <c r="I11" s="9">
        <v>6</v>
      </c>
      <c r="J11" s="10"/>
      <c r="K11" s="4"/>
      <c r="L11" s="4"/>
      <c r="M11" s="3" t="s">
        <v>111</v>
      </c>
      <c r="N11" s="4"/>
      <c r="P11" s="11">
        <v>3</v>
      </c>
      <c r="Q11" s="12"/>
      <c r="R11" s="13"/>
      <c r="S11" s="12"/>
      <c r="T11" s="3" t="s">
        <v>141</v>
      </c>
      <c r="U11">
        <v>1</v>
      </c>
    </row>
    <row r="12" spans="1:24" x14ac:dyDescent="0.2">
      <c r="A12" s="5" t="s">
        <v>12</v>
      </c>
      <c r="C12" s="5" t="s">
        <v>20</v>
      </c>
      <c r="G12" s="3" t="s">
        <v>49</v>
      </c>
      <c r="H12" s="4"/>
      <c r="I12" s="3" t="s">
        <v>49</v>
      </c>
      <c r="J12" s="4"/>
      <c r="K12" s="4"/>
      <c r="L12" s="4"/>
      <c r="M12" s="3" t="s">
        <v>112</v>
      </c>
      <c r="N12" s="4"/>
      <c r="P12" s="3" t="s">
        <v>127</v>
      </c>
      <c r="Q12" s="4">
        <v>1</v>
      </c>
      <c r="R12" s="3"/>
      <c r="S12" s="4"/>
      <c r="T12" s="3" t="s">
        <v>128</v>
      </c>
      <c r="U12">
        <v>2</v>
      </c>
    </row>
    <row r="13" spans="1:24" x14ac:dyDescent="0.2">
      <c r="A13" s="5" t="s">
        <v>13</v>
      </c>
      <c r="C13" s="5" t="s">
        <v>13</v>
      </c>
      <c r="G13" s="3" t="s">
        <v>50</v>
      </c>
      <c r="H13" s="4"/>
      <c r="I13" s="3" t="s">
        <v>84</v>
      </c>
      <c r="J13" s="4"/>
      <c r="K13" s="4"/>
      <c r="L13" s="4"/>
      <c r="M13" s="3" t="s">
        <v>113</v>
      </c>
      <c r="N13" s="4"/>
      <c r="P13" s="3" t="s">
        <v>128</v>
      </c>
      <c r="Q13" s="4">
        <v>2</v>
      </c>
      <c r="R13" s="3"/>
      <c r="S13" s="4"/>
      <c r="T13" s="3" t="s">
        <v>151</v>
      </c>
      <c r="U13">
        <v>3</v>
      </c>
    </row>
    <row r="14" spans="1:24" x14ac:dyDescent="0.2">
      <c r="A14" s="5" t="s">
        <v>14</v>
      </c>
      <c r="C14" s="5" t="s">
        <v>10</v>
      </c>
      <c r="G14" s="3" t="s">
        <v>51</v>
      </c>
      <c r="H14" s="4"/>
      <c r="I14" s="3" t="s">
        <v>85</v>
      </c>
      <c r="J14" s="4"/>
      <c r="K14" s="4"/>
      <c r="L14" s="4"/>
      <c r="M14" s="3" t="s">
        <v>114</v>
      </c>
      <c r="N14" s="4"/>
      <c r="P14" s="3" t="s">
        <v>134</v>
      </c>
      <c r="Q14" s="4">
        <v>3</v>
      </c>
      <c r="R14" s="3"/>
      <c r="S14" s="4"/>
      <c r="T14" s="3" t="s">
        <v>152</v>
      </c>
      <c r="U14">
        <v>6</v>
      </c>
    </row>
    <row r="15" spans="1:24" x14ac:dyDescent="0.2">
      <c r="A15" s="5" t="s">
        <v>15</v>
      </c>
      <c r="C15" s="5" t="s">
        <v>5</v>
      </c>
      <c r="G15" s="3" t="s">
        <v>52</v>
      </c>
      <c r="H15" s="4"/>
      <c r="I15" s="3" t="s">
        <v>86</v>
      </c>
      <c r="J15" s="4"/>
      <c r="K15" s="4"/>
      <c r="L15" s="4"/>
      <c r="M15" s="3" t="s">
        <v>115</v>
      </c>
      <c r="N15" s="4"/>
      <c r="P15" s="3" t="s">
        <v>131</v>
      </c>
      <c r="Q15" s="4"/>
      <c r="R15" s="3"/>
      <c r="S15" s="4"/>
      <c r="T15" s="3" t="s">
        <v>5</v>
      </c>
      <c r="U15">
        <v>8</v>
      </c>
    </row>
    <row r="16" spans="1:24" x14ac:dyDescent="0.2">
      <c r="A16" s="5" t="s">
        <v>16</v>
      </c>
      <c r="G16" s="3" t="s">
        <v>53</v>
      </c>
      <c r="H16" s="4"/>
      <c r="I16" s="3" t="s">
        <v>87</v>
      </c>
      <c r="J16" s="4"/>
      <c r="K16" s="4"/>
      <c r="L16" s="4"/>
      <c r="M16" s="3" t="s">
        <v>116</v>
      </c>
      <c r="N16" s="4"/>
      <c r="P16" s="3" t="s">
        <v>135</v>
      </c>
      <c r="Q16" s="4"/>
      <c r="R16" s="3"/>
      <c r="S16" s="4"/>
      <c r="T16" s="4"/>
    </row>
    <row r="17" spans="1:24" x14ac:dyDescent="0.2">
      <c r="A17" s="5" t="s">
        <v>17</v>
      </c>
      <c r="G17" s="3" t="s">
        <v>54</v>
      </c>
      <c r="H17" s="4"/>
      <c r="I17" s="3" t="s">
        <v>88</v>
      </c>
      <c r="J17" s="4"/>
      <c r="K17" s="4"/>
      <c r="L17" s="4"/>
      <c r="M17" s="3" t="s">
        <v>117</v>
      </c>
      <c r="N17" s="4"/>
      <c r="P17" s="3" t="s">
        <v>5</v>
      </c>
      <c r="Q17" s="4">
        <v>8</v>
      </c>
      <c r="R17" s="3"/>
      <c r="S17" s="4"/>
      <c r="T17" s="11">
        <v>9</v>
      </c>
      <c r="U17" s="14"/>
      <c r="V17" s="14"/>
      <c r="W17" s="14"/>
      <c r="X17" s="14"/>
    </row>
    <row r="18" spans="1:24" x14ac:dyDescent="0.2">
      <c r="A18" s="5" t="s">
        <v>10</v>
      </c>
      <c r="G18" s="3" t="s">
        <v>55</v>
      </c>
      <c r="H18" s="4"/>
      <c r="I18" s="3" t="s">
        <v>89</v>
      </c>
      <c r="J18" s="4"/>
      <c r="K18" s="4"/>
      <c r="L18" s="4"/>
      <c r="M18" s="3" t="s">
        <v>118</v>
      </c>
      <c r="N18" s="4"/>
      <c r="P18" s="4"/>
      <c r="Q18" s="4"/>
      <c r="R18" s="4"/>
      <c r="S18" s="4"/>
      <c r="T18" s="3" t="s">
        <v>153</v>
      </c>
      <c r="U18">
        <v>1</v>
      </c>
    </row>
    <row r="19" spans="1:24" x14ac:dyDescent="0.2">
      <c r="A19" s="5" t="s">
        <v>5</v>
      </c>
      <c r="G19" s="3" t="s">
        <v>56</v>
      </c>
      <c r="H19" s="4"/>
      <c r="I19" s="3" t="s">
        <v>5</v>
      </c>
      <c r="J19" s="4"/>
      <c r="K19" s="4"/>
      <c r="L19" s="4"/>
      <c r="M19" s="3" t="s">
        <v>119</v>
      </c>
      <c r="N19" s="4"/>
      <c r="P19" s="2">
        <v>4</v>
      </c>
      <c r="Q19" s="4"/>
      <c r="R19" s="4"/>
      <c r="S19" s="4"/>
      <c r="T19" s="3" t="s">
        <v>128</v>
      </c>
      <c r="U19">
        <v>2</v>
      </c>
    </row>
    <row r="20" spans="1:24" x14ac:dyDescent="0.2">
      <c r="G20" s="3" t="s">
        <v>5</v>
      </c>
      <c r="H20" s="4"/>
      <c r="I20" s="4"/>
      <c r="J20" s="4"/>
      <c r="K20" s="4"/>
      <c r="L20" s="4"/>
      <c r="M20" s="3" t="s">
        <v>5</v>
      </c>
      <c r="N20" s="4"/>
      <c r="P20" s="3" t="s">
        <v>136</v>
      </c>
      <c r="Q20" s="4">
        <v>1</v>
      </c>
      <c r="R20" s="4"/>
      <c r="S20" s="4"/>
      <c r="T20" s="3" t="s">
        <v>154</v>
      </c>
      <c r="U20">
        <v>3</v>
      </c>
    </row>
    <row r="21" spans="1:24" x14ac:dyDescent="0.2">
      <c r="A21" s="7">
        <v>6</v>
      </c>
      <c r="B21" s="7"/>
      <c r="C21" s="7">
        <v>7</v>
      </c>
      <c r="D21" s="7"/>
      <c r="E21" s="16"/>
      <c r="F21" s="16"/>
      <c r="G21" s="4"/>
      <c r="H21" s="4"/>
      <c r="I21" s="9">
        <v>7</v>
      </c>
      <c r="J21" s="9"/>
      <c r="K21" s="4"/>
      <c r="L21" s="4"/>
      <c r="M21" s="4"/>
      <c r="N21" s="4"/>
      <c r="P21" s="3" t="s">
        <v>137</v>
      </c>
      <c r="Q21" s="4">
        <v>2</v>
      </c>
      <c r="R21" s="4"/>
      <c r="S21" s="4"/>
      <c r="T21" s="3" t="s">
        <v>155</v>
      </c>
      <c r="U21">
        <v>4</v>
      </c>
    </row>
    <row r="22" spans="1:24" x14ac:dyDescent="0.2">
      <c r="A22" s="5" t="s">
        <v>6</v>
      </c>
      <c r="C22" s="5" t="s">
        <v>26</v>
      </c>
      <c r="G22" s="9">
        <v>4</v>
      </c>
      <c r="H22" s="10"/>
      <c r="I22" s="3" t="s">
        <v>49</v>
      </c>
      <c r="J22" s="4"/>
      <c r="K22" s="4"/>
      <c r="L22" s="4"/>
      <c r="M22" s="9">
        <v>10</v>
      </c>
      <c r="N22" s="10"/>
      <c r="P22" s="3" t="s">
        <v>138</v>
      </c>
      <c r="Q22" s="4">
        <v>3</v>
      </c>
      <c r="R22" s="4"/>
      <c r="S22" s="4"/>
      <c r="T22" s="3" t="s">
        <v>5</v>
      </c>
      <c r="U22">
        <v>8</v>
      </c>
    </row>
    <row r="23" spans="1:24" x14ac:dyDescent="0.2">
      <c r="A23" s="5" t="s">
        <v>21</v>
      </c>
      <c r="C23" s="5" t="s">
        <v>27</v>
      </c>
      <c r="G23" s="3" t="s">
        <v>57</v>
      </c>
      <c r="H23" s="4"/>
      <c r="I23" s="3" t="s">
        <v>90</v>
      </c>
      <c r="J23" s="4"/>
      <c r="K23" s="4"/>
      <c r="L23" s="4"/>
      <c r="M23" s="3" t="s">
        <v>49</v>
      </c>
      <c r="N23" s="4"/>
      <c r="P23" s="3" t="s">
        <v>139</v>
      </c>
      <c r="Q23" s="4"/>
      <c r="R23" s="4"/>
      <c r="S23" s="4"/>
      <c r="T23" s="4"/>
    </row>
    <row r="24" spans="1:24" x14ac:dyDescent="0.2">
      <c r="A24" s="5" t="s">
        <v>22</v>
      </c>
      <c r="C24" s="5" t="s">
        <v>28</v>
      </c>
      <c r="G24" s="3" t="s">
        <v>58</v>
      </c>
      <c r="H24" s="4"/>
      <c r="I24" s="3" t="s">
        <v>84</v>
      </c>
      <c r="J24" s="4"/>
      <c r="K24" s="4"/>
      <c r="L24" s="4"/>
      <c r="M24" s="3" t="s">
        <v>120</v>
      </c>
      <c r="N24" s="4"/>
      <c r="P24" s="3" t="s">
        <v>140</v>
      </c>
      <c r="Q24" s="4">
        <v>6</v>
      </c>
      <c r="R24" s="4"/>
      <c r="S24" s="4"/>
      <c r="T24" s="11">
        <v>10</v>
      </c>
      <c r="U24" s="14"/>
      <c r="V24" s="14"/>
      <c r="W24" s="14"/>
      <c r="X24" s="14"/>
    </row>
    <row r="25" spans="1:24" x14ac:dyDescent="0.2">
      <c r="A25" s="5" t="s">
        <v>23</v>
      </c>
      <c r="C25" s="5" t="s">
        <v>29</v>
      </c>
      <c r="G25" s="3" t="s">
        <v>59</v>
      </c>
      <c r="H25" s="4"/>
      <c r="I25" s="3" t="s">
        <v>91</v>
      </c>
      <c r="J25" s="4"/>
      <c r="K25" s="4"/>
      <c r="L25" s="4"/>
      <c r="M25" s="3" t="s">
        <v>121</v>
      </c>
      <c r="N25" s="4"/>
      <c r="P25" s="3" t="s">
        <v>130</v>
      </c>
      <c r="Q25" s="4">
        <v>4</v>
      </c>
      <c r="R25" s="4"/>
      <c r="S25" s="4"/>
      <c r="T25" s="3" t="s">
        <v>156</v>
      </c>
      <c r="U25">
        <v>1</v>
      </c>
    </row>
    <row r="26" spans="1:24" x14ac:dyDescent="0.2">
      <c r="A26" s="5" t="s">
        <v>24</v>
      </c>
      <c r="C26" s="5" t="s">
        <v>10</v>
      </c>
      <c r="G26" s="3" t="s">
        <v>60</v>
      </c>
      <c r="H26" s="4"/>
      <c r="I26" s="3" t="s">
        <v>92</v>
      </c>
      <c r="J26" s="4"/>
      <c r="K26" s="4"/>
      <c r="L26" s="4"/>
      <c r="M26" s="3" t="s">
        <v>122</v>
      </c>
      <c r="N26" s="4"/>
      <c r="P26" s="3" t="s">
        <v>5</v>
      </c>
      <c r="Q26" s="4">
        <v>8</v>
      </c>
      <c r="R26" s="4"/>
      <c r="S26" s="4"/>
      <c r="T26" s="3" t="s">
        <v>157</v>
      </c>
      <c r="U26">
        <v>2</v>
      </c>
    </row>
    <row r="27" spans="1:24" x14ac:dyDescent="0.2">
      <c r="A27" s="5" t="s">
        <v>25</v>
      </c>
      <c r="C27" s="5" t="s">
        <v>5</v>
      </c>
      <c r="G27" s="3" t="s">
        <v>61</v>
      </c>
      <c r="H27" s="4"/>
      <c r="I27" s="3" t="s">
        <v>93</v>
      </c>
      <c r="J27" s="4"/>
      <c r="K27" s="4"/>
      <c r="L27" s="4"/>
      <c r="M27" s="3" t="s">
        <v>50</v>
      </c>
      <c r="N27" s="4"/>
      <c r="P27" s="4"/>
      <c r="Q27" s="4"/>
      <c r="R27" s="4"/>
      <c r="S27" s="4"/>
      <c r="T27" s="3" t="s">
        <v>158</v>
      </c>
      <c r="U27">
        <v>3</v>
      </c>
    </row>
    <row r="28" spans="1:24" x14ac:dyDescent="0.2">
      <c r="A28" s="5" t="s">
        <v>17</v>
      </c>
      <c r="G28" s="3" t="s">
        <v>62</v>
      </c>
      <c r="H28" s="4"/>
      <c r="I28" s="3" t="s">
        <v>94</v>
      </c>
      <c r="J28" s="4"/>
      <c r="K28" s="4"/>
      <c r="L28" s="4"/>
      <c r="M28" s="3" t="s">
        <v>92</v>
      </c>
      <c r="N28" s="4"/>
      <c r="P28" s="11">
        <v>5</v>
      </c>
      <c r="Q28" s="12"/>
      <c r="R28" s="12"/>
      <c r="S28" s="12"/>
      <c r="T28" s="3" t="s">
        <v>159</v>
      </c>
      <c r="U28">
        <v>6</v>
      </c>
    </row>
    <row r="29" spans="1:24" x14ac:dyDescent="0.2">
      <c r="A29" s="5" t="s">
        <v>10</v>
      </c>
      <c r="G29" s="3" t="s">
        <v>63</v>
      </c>
      <c r="H29" s="4"/>
      <c r="I29" s="3" t="s">
        <v>95</v>
      </c>
      <c r="J29" s="4"/>
      <c r="K29" s="4"/>
      <c r="L29" s="4"/>
      <c r="M29" s="3" t="s">
        <v>123</v>
      </c>
      <c r="N29" s="4"/>
      <c r="P29" s="3" t="s">
        <v>141</v>
      </c>
      <c r="Q29" s="4">
        <v>1</v>
      </c>
      <c r="R29" s="4"/>
      <c r="S29" s="4"/>
      <c r="T29" s="3" t="s">
        <v>160</v>
      </c>
      <c r="U29">
        <v>8</v>
      </c>
    </row>
    <row r="30" spans="1:24" x14ac:dyDescent="0.2">
      <c r="A30" s="5" t="s">
        <v>5</v>
      </c>
      <c r="G30" s="3" t="s">
        <v>64</v>
      </c>
      <c r="H30" s="4"/>
      <c r="I30" s="3" t="s">
        <v>96</v>
      </c>
      <c r="J30" s="4"/>
      <c r="K30" s="4"/>
      <c r="L30" s="4"/>
      <c r="M30" s="3" t="s">
        <v>124</v>
      </c>
      <c r="N30" s="4"/>
      <c r="P30" s="3" t="s">
        <v>128</v>
      </c>
      <c r="Q30" s="4">
        <v>2</v>
      </c>
      <c r="R30" s="4"/>
      <c r="S30" s="4"/>
      <c r="T30" s="3" t="s">
        <v>5</v>
      </c>
      <c r="U30">
        <v>8</v>
      </c>
    </row>
    <row r="31" spans="1:24" x14ac:dyDescent="0.2">
      <c r="G31" s="3" t="s">
        <v>65</v>
      </c>
      <c r="H31" s="4"/>
      <c r="I31" s="3" t="s">
        <v>5</v>
      </c>
      <c r="J31" s="4"/>
      <c r="K31" s="4"/>
      <c r="L31" s="4"/>
      <c r="M31" s="3" t="s">
        <v>125</v>
      </c>
      <c r="N31" s="4"/>
      <c r="P31" s="3" t="s">
        <v>129</v>
      </c>
      <c r="Q31" s="4">
        <v>3</v>
      </c>
      <c r="R31" s="4"/>
      <c r="S31" s="4"/>
      <c r="T31" s="4"/>
    </row>
    <row r="32" spans="1:24" x14ac:dyDescent="0.2">
      <c r="A32" s="8">
        <v>8</v>
      </c>
      <c r="B32" s="8"/>
      <c r="C32" s="8">
        <v>9</v>
      </c>
      <c r="D32" s="8"/>
      <c r="G32" s="3" t="s">
        <v>66</v>
      </c>
      <c r="H32" s="4"/>
      <c r="I32" s="4"/>
      <c r="J32" s="4"/>
      <c r="K32" s="4"/>
      <c r="L32" s="4"/>
      <c r="M32" s="3" t="s">
        <v>126</v>
      </c>
      <c r="N32" s="4"/>
      <c r="P32" s="3" t="s">
        <v>131</v>
      </c>
      <c r="Q32" s="4"/>
      <c r="R32" s="4"/>
      <c r="S32" s="4"/>
      <c r="T32" s="4"/>
    </row>
    <row r="33" spans="1:20" x14ac:dyDescent="0.2">
      <c r="A33" s="5" t="s">
        <v>30</v>
      </c>
      <c r="C33" s="5" t="s">
        <v>21</v>
      </c>
      <c r="G33" s="3" t="s">
        <v>67</v>
      </c>
      <c r="H33" s="4"/>
      <c r="I33" s="9">
        <v>8</v>
      </c>
      <c r="J33" s="10"/>
      <c r="K33" s="4"/>
      <c r="L33" s="4"/>
      <c r="M33" s="3" t="s">
        <v>5</v>
      </c>
      <c r="N33" s="4"/>
      <c r="P33" s="3" t="s">
        <v>142</v>
      </c>
      <c r="Q33" s="4"/>
      <c r="R33" s="4"/>
      <c r="S33" s="4"/>
      <c r="T33" s="4"/>
    </row>
    <row r="34" spans="1:20" x14ac:dyDescent="0.2">
      <c r="A34" s="5" t="s">
        <v>31</v>
      </c>
      <c r="C34" s="5" t="s">
        <v>27</v>
      </c>
      <c r="G34" s="3" t="s">
        <v>68</v>
      </c>
      <c r="H34" s="4"/>
      <c r="I34" s="3" t="s">
        <v>97</v>
      </c>
      <c r="J34" s="4"/>
      <c r="K34" s="4"/>
      <c r="L34" s="4"/>
      <c r="M34" s="4"/>
      <c r="N34" s="4"/>
      <c r="P34" s="3" t="s">
        <v>5</v>
      </c>
      <c r="Q34" s="4">
        <v>8</v>
      </c>
      <c r="R34" s="4"/>
      <c r="S34" s="4"/>
      <c r="T34" s="4"/>
    </row>
    <row r="35" spans="1:20" x14ac:dyDescent="0.2">
      <c r="A35" s="5" t="s">
        <v>13</v>
      </c>
      <c r="C35" s="5" t="s">
        <v>15</v>
      </c>
      <c r="G35" s="3" t="s">
        <v>69</v>
      </c>
      <c r="H35" s="4"/>
      <c r="I35" s="3" t="s">
        <v>98</v>
      </c>
      <c r="J35" s="4"/>
      <c r="K35" s="4"/>
      <c r="L35" s="4"/>
      <c r="M35" s="4"/>
      <c r="N35" s="4"/>
      <c r="P35" s="4"/>
      <c r="Q35" s="4"/>
      <c r="R35" s="4"/>
      <c r="S35" s="4"/>
      <c r="T35" s="4"/>
    </row>
    <row r="36" spans="1:20" x14ac:dyDescent="0.2">
      <c r="A36" s="5" t="s">
        <v>32</v>
      </c>
      <c r="C36" s="5" t="s">
        <v>34</v>
      </c>
      <c r="G36" s="3" t="s">
        <v>70</v>
      </c>
      <c r="H36" s="4"/>
      <c r="I36" s="3" t="s">
        <v>50</v>
      </c>
      <c r="J36" s="4"/>
      <c r="K36" s="4"/>
      <c r="L36" s="4"/>
      <c r="M36" s="4"/>
      <c r="N36" s="4"/>
      <c r="P36" s="11">
        <v>6</v>
      </c>
      <c r="Q36" s="12"/>
      <c r="R36" s="12"/>
      <c r="S36" s="12"/>
      <c r="T36" s="4"/>
    </row>
    <row r="37" spans="1:20" x14ac:dyDescent="0.2">
      <c r="A37" s="5" t="s">
        <v>33</v>
      </c>
      <c r="C37" s="5" t="s">
        <v>35</v>
      </c>
      <c r="G37" s="3" t="s">
        <v>71</v>
      </c>
      <c r="H37" s="4"/>
      <c r="I37" s="3" t="s">
        <v>99</v>
      </c>
      <c r="J37" s="4"/>
      <c r="K37" s="4"/>
      <c r="L37" s="4"/>
      <c r="M37" s="4"/>
      <c r="N37" s="4"/>
      <c r="P37" s="3" t="s">
        <v>141</v>
      </c>
      <c r="Q37" s="4">
        <v>1</v>
      </c>
      <c r="R37" s="4"/>
      <c r="S37" s="4"/>
      <c r="T37" s="4"/>
    </row>
    <row r="38" spans="1:20" x14ac:dyDescent="0.2">
      <c r="A38" s="5" t="s">
        <v>8</v>
      </c>
      <c r="C38" s="5" t="s">
        <v>10</v>
      </c>
      <c r="G38" s="3" t="s">
        <v>72</v>
      </c>
      <c r="H38" s="4"/>
      <c r="I38" s="3" t="s">
        <v>100</v>
      </c>
      <c r="J38" s="4"/>
      <c r="K38" s="4"/>
      <c r="L38" s="4"/>
      <c r="M38" s="4"/>
      <c r="N38" s="4"/>
      <c r="P38" s="3" t="s">
        <v>128</v>
      </c>
      <c r="Q38" s="4">
        <v>2</v>
      </c>
      <c r="R38" s="4"/>
      <c r="S38" s="4"/>
      <c r="T38" s="4"/>
    </row>
    <row r="39" spans="1:20" x14ac:dyDescent="0.2">
      <c r="A39" s="5" t="s">
        <v>10</v>
      </c>
      <c r="C39" s="5" t="s">
        <v>5</v>
      </c>
      <c r="G39" s="3" t="s">
        <v>73</v>
      </c>
      <c r="H39" s="4"/>
      <c r="I39" s="3" t="s">
        <v>101</v>
      </c>
      <c r="J39" s="4"/>
      <c r="K39" s="4"/>
      <c r="L39" s="4"/>
      <c r="M39" s="4"/>
      <c r="N39" s="4"/>
      <c r="P39" s="3" t="s">
        <v>143</v>
      </c>
      <c r="Q39" s="4">
        <v>3</v>
      </c>
      <c r="R39" s="4"/>
      <c r="S39" s="4"/>
      <c r="T39" s="4"/>
    </row>
    <row r="40" spans="1:20" x14ac:dyDescent="0.2">
      <c r="A40" s="5" t="s">
        <v>5</v>
      </c>
      <c r="G40" s="3" t="s">
        <v>74</v>
      </c>
      <c r="H40" s="4"/>
      <c r="I40" s="3" t="s">
        <v>102</v>
      </c>
      <c r="J40" s="4"/>
      <c r="K40" s="4"/>
      <c r="L40" s="4"/>
      <c r="M40" s="4"/>
      <c r="N40" s="4"/>
      <c r="P40" s="3" t="s">
        <v>131</v>
      </c>
      <c r="Q40" s="4"/>
      <c r="R40" s="4"/>
      <c r="S40" s="4"/>
      <c r="T40" s="4"/>
    </row>
    <row r="41" spans="1:20" x14ac:dyDescent="0.2">
      <c r="G41" s="3" t="s">
        <v>75</v>
      </c>
      <c r="H41" s="4"/>
      <c r="I41" s="3" t="s">
        <v>5</v>
      </c>
      <c r="J41" s="4"/>
      <c r="K41" s="4"/>
      <c r="L41" s="4"/>
      <c r="M41" s="4"/>
      <c r="N41" s="4"/>
      <c r="P41" s="3" t="s">
        <v>144</v>
      </c>
      <c r="Q41" s="4">
        <v>6</v>
      </c>
      <c r="R41" s="4"/>
      <c r="S41" s="4"/>
      <c r="T41" s="4"/>
    </row>
    <row r="42" spans="1:20" x14ac:dyDescent="0.2">
      <c r="A42" s="7">
        <v>10</v>
      </c>
      <c r="B42" s="7"/>
      <c r="C42" s="7">
        <v>10</v>
      </c>
      <c r="D42" s="8"/>
      <c r="G42" s="3" t="s">
        <v>76</v>
      </c>
      <c r="H42" s="4"/>
      <c r="I42" s="4"/>
      <c r="J42" s="4"/>
      <c r="K42" s="4"/>
      <c r="L42" s="4"/>
      <c r="M42" s="4"/>
      <c r="N42" s="4"/>
      <c r="P42" s="3" t="s">
        <v>5</v>
      </c>
      <c r="Q42" s="4">
        <v>8</v>
      </c>
      <c r="R42" s="4"/>
      <c r="S42" s="4"/>
      <c r="T42" s="4"/>
    </row>
    <row r="43" spans="1:20" x14ac:dyDescent="0.2">
      <c r="A43" s="5" t="s">
        <v>36</v>
      </c>
      <c r="C43" s="5" t="s">
        <v>41</v>
      </c>
      <c r="G43" s="3" t="s">
        <v>77</v>
      </c>
      <c r="H43" s="4"/>
      <c r="I43" s="4"/>
      <c r="J43" s="4"/>
      <c r="K43" s="4"/>
      <c r="L43" s="4"/>
      <c r="M43" s="4"/>
      <c r="N43" s="4"/>
      <c r="P43" s="4"/>
      <c r="Q43" s="4"/>
      <c r="R43" s="4"/>
      <c r="S43" s="4"/>
      <c r="T43" s="4"/>
    </row>
    <row r="44" spans="1:20" x14ac:dyDescent="0.2">
      <c r="A44" s="5" t="s">
        <v>37</v>
      </c>
      <c r="C44" s="5" t="s">
        <v>10</v>
      </c>
      <c r="G44" s="3" t="s">
        <v>78</v>
      </c>
      <c r="H44" s="4"/>
      <c r="I44" s="4"/>
      <c r="J44" s="4"/>
      <c r="K44" s="4"/>
      <c r="L44" s="4"/>
      <c r="M44" s="4"/>
      <c r="N44" s="4"/>
      <c r="P44" s="4"/>
      <c r="Q44" s="4"/>
      <c r="R44" s="4"/>
      <c r="S44" s="4"/>
      <c r="T44" s="4"/>
    </row>
    <row r="45" spans="1:20" x14ac:dyDescent="0.2">
      <c r="A45" s="5" t="s">
        <v>38</v>
      </c>
      <c r="C45" s="5" t="s">
        <v>5</v>
      </c>
      <c r="G45" s="3" t="s">
        <v>5</v>
      </c>
      <c r="H45" s="4"/>
      <c r="I45" s="4"/>
      <c r="J45" s="4"/>
      <c r="K45" s="4"/>
      <c r="L45" s="4"/>
      <c r="M45" s="4"/>
      <c r="N45" s="4"/>
      <c r="P45" s="4"/>
      <c r="Q45" s="4"/>
      <c r="R45" s="4"/>
      <c r="S45" s="4"/>
      <c r="T45" s="4"/>
    </row>
    <row r="46" spans="1:20" x14ac:dyDescent="0.2">
      <c r="A46" s="5" t="s">
        <v>39</v>
      </c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S46" s="4"/>
      <c r="T46" s="4"/>
    </row>
    <row r="47" spans="1:20" x14ac:dyDescent="0.2">
      <c r="A47" s="5" t="s">
        <v>40</v>
      </c>
      <c r="P47" s="4"/>
      <c r="Q47" s="4"/>
      <c r="R47" s="4"/>
      <c r="S47" s="4"/>
      <c r="T47" s="4"/>
    </row>
    <row r="48" spans="1:20" x14ac:dyDescent="0.2">
      <c r="A48" s="5"/>
      <c r="P48" s="4"/>
      <c r="Q48" s="4"/>
      <c r="R48" s="4"/>
      <c r="S48" s="4"/>
      <c r="T48" s="4"/>
    </row>
    <row r="49" spans="1:1" x14ac:dyDescent="0.2">
      <c r="A49" s="5"/>
    </row>
    <row r="50" spans="1:1" x14ac:dyDescent="0.2">
      <c r="A50" s="5"/>
    </row>
  </sheetData>
  <pageMargins left="0.7" right="0.7" top="0.75" bottom="0.75" header="0.3" footer="0.3"/>
  <pageSetup paperSize="9" orientation="portrait" horizontalDpi="0" verticalDpi="0"/>
  <headerFooter>
    <oddHeader xml:space="preserve">&amp;C&amp;"-,Bold"Methods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F50AC-9313-5942-9B20-9F17704EC049}">
  <dimension ref="A1:C105"/>
  <sheetViews>
    <sheetView topLeftCell="A13" zoomScale="131" workbookViewId="0">
      <selection activeCell="G30" sqref="G30"/>
    </sheetView>
  </sheetViews>
  <sheetFormatPr baseColWidth="10" defaultRowHeight="16" x14ac:dyDescent="0.2"/>
  <cols>
    <col min="2" max="2" width="60.83203125" bestFit="1" customWidth="1"/>
  </cols>
  <sheetData>
    <row r="1" spans="1:3" x14ac:dyDescent="0.2">
      <c r="A1" s="28" t="s">
        <v>177</v>
      </c>
      <c r="B1" s="28"/>
      <c r="C1" s="28"/>
    </row>
    <row r="2" spans="1:3" x14ac:dyDescent="0.2">
      <c r="A2">
        <v>2</v>
      </c>
      <c r="B2" s="3" t="s">
        <v>42</v>
      </c>
      <c r="C2">
        <v>1</v>
      </c>
    </row>
    <row r="3" spans="1:3" x14ac:dyDescent="0.2">
      <c r="B3" s="3" t="s">
        <v>43</v>
      </c>
      <c r="C3">
        <v>2</v>
      </c>
    </row>
    <row r="4" spans="1:3" x14ac:dyDescent="0.2">
      <c r="B4" s="3" t="s">
        <v>44</v>
      </c>
      <c r="C4">
        <v>3</v>
      </c>
    </row>
    <row r="5" spans="1:3" x14ac:dyDescent="0.2">
      <c r="B5" s="3" t="s">
        <v>45</v>
      </c>
      <c r="C5">
        <v>6</v>
      </c>
    </row>
    <row r="6" spans="1:3" x14ac:dyDescent="0.2">
      <c r="B6" s="3" t="s">
        <v>46</v>
      </c>
      <c r="C6">
        <v>3</v>
      </c>
    </row>
    <row r="7" spans="1:3" x14ac:dyDescent="0.2">
      <c r="B7" s="3" t="s">
        <v>47</v>
      </c>
      <c r="C7">
        <v>5</v>
      </c>
    </row>
    <row r="8" spans="1:3" x14ac:dyDescent="0.2">
      <c r="B8" s="3" t="s">
        <v>48</v>
      </c>
      <c r="C8">
        <v>9</v>
      </c>
    </row>
    <row r="9" spans="1:3" x14ac:dyDescent="0.2">
      <c r="B9" s="3" t="s">
        <v>5</v>
      </c>
      <c r="C9">
        <v>9</v>
      </c>
    </row>
    <row r="10" spans="1:3" x14ac:dyDescent="0.2">
      <c r="A10">
        <v>3</v>
      </c>
      <c r="B10" s="3" t="s">
        <v>49</v>
      </c>
      <c r="C10">
        <v>1</v>
      </c>
    </row>
    <row r="11" spans="1:3" x14ac:dyDescent="0.2">
      <c r="B11" s="3" t="s">
        <v>50</v>
      </c>
      <c r="C11">
        <v>3</v>
      </c>
    </row>
    <row r="12" spans="1:3" x14ac:dyDescent="0.2">
      <c r="B12" s="3" t="s">
        <v>51</v>
      </c>
      <c r="C12">
        <v>5</v>
      </c>
    </row>
    <row r="13" spans="1:3" x14ac:dyDescent="0.2">
      <c r="B13" s="3" t="s">
        <v>52</v>
      </c>
      <c r="C13">
        <v>3</v>
      </c>
    </row>
    <row r="14" spans="1:3" x14ac:dyDescent="0.2">
      <c r="B14" s="3" t="s">
        <v>53</v>
      </c>
      <c r="C14">
        <v>4</v>
      </c>
    </row>
    <row r="15" spans="1:3" x14ac:dyDescent="0.2">
      <c r="B15" s="3" t="s">
        <v>54</v>
      </c>
      <c r="C15">
        <v>3</v>
      </c>
    </row>
    <row r="16" spans="1:3" x14ac:dyDescent="0.2">
      <c r="B16" s="3" t="s">
        <v>55</v>
      </c>
      <c r="C16">
        <v>6</v>
      </c>
    </row>
    <row r="17" spans="1:3" x14ac:dyDescent="0.2">
      <c r="B17" s="3" t="s">
        <v>56</v>
      </c>
      <c r="C17">
        <v>7</v>
      </c>
    </row>
    <row r="18" spans="1:3" x14ac:dyDescent="0.2">
      <c r="B18" s="3" t="s">
        <v>5</v>
      </c>
      <c r="C18">
        <v>9</v>
      </c>
    </row>
    <row r="19" spans="1:3" x14ac:dyDescent="0.2">
      <c r="A19">
        <v>4</v>
      </c>
      <c r="B19" s="3" t="s">
        <v>57</v>
      </c>
      <c r="C19">
        <v>2</v>
      </c>
    </row>
    <row r="20" spans="1:3" x14ac:dyDescent="0.2">
      <c r="B20" s="3" t="s">
        <v>58</v>
      </c>
      <c r="C20">
        <v>2</v>
      </c>
    </row>
    <row r="21" spans="1:3" x14ac:dyDescent="0.2">
      <c r="B21" s="3" t="s">
        <v>59</v>
      </c>
      <c r="C21" t="s">
        <v>201</v>
      </c>
    </row>
    <row r="22" spans="1:3" x14ac:dyDescent="0.2">
      <c r="B22" s="3" t="s">
        <v>60</v>
      </c>
      <c r="C22">
        <v>3</v>
      </c>
    </row>
    <row r="23" spans="1:3" x14ac:dyDescent="0.2">
      <c r="B23" s="3" t="s">
        <v>61</v>
      </c>
      <c r="C23">
        <v>5</v>
      </c>
    </row>
    <row r="24" spans="1:3" x14ac:dyDescent="0.2">
      <c r="B24" s="3" t="s">
        <v>62</v>
      </c>
      <c r="C24">
        <v>3</v>
      </c>
    </row>
    <row r="25" spans="1:3" x14ac:dyDescent="0.2">
      <c r="B25" s="3" t="s">
        <v>63</v>
      </c>
      <c r="C25">
        <v>6</v>
      </c>
    </row>
    <row r="26" spans="1:3" x14ac:dyDescent="0.2">
      <c r="B26" s="3" t="s">
        <v>64</v>
      </c>
      <c r="C26">
        <v>5</v>
      </c>
    </row>
    <row r="27" spans="1:3" x14ac:dyDescent="0.2">
      <c r="B27" s="3" t="s">
        <v>65</v>
      </c>
      <c r="C27">
        <v>1</v>
      </c>
    </row>
    <row r="28" spans="1:3" x14ac:dyDescent="0.2">
      <c r="B28" s="3" t="s">
        <v>66</v>
      </c>
      <c r="C28">
        <v>9</v>
      </c>
    </row>
    <row r="29" spans="1:3" x14ac:dyDescent="0.2">
      <c r="B29" s="3" t="s">
        <v>67</v>
      </c>
      <c r="C29">
        <v>9</v>
      </c>
    </row>
    <row r="30" spans="1:3" x14ac:dyDescent="0.2">
      <c r="B30" s="3" t="s">
        <v>68</v>
      </c>
      <c r="C30">
        <v>9</v>
      </c>
    </row>
    <row r="31" spans="1:3" x14ac:dyDescent="0.2">
      <c r="B31" s="3" t="s">
        <v>69</v>
      </c>
      <c r="C31">
        <v>3</v>
      </c>
    </row>
    <row r="32" spans="1:3" x14ac:dyDescent="0.2">
      <c r="B32" s="3" t="s">
        <v>70</v>
      </c>
      <c r="C32">
        <v>3</v>
      </c>
    </row>
    <row r="33" spans="1:3" x14ac:dyDescent="0.2">
      <c r="B33" s="3" t="s">
        <v>71</v>
      </c>
      <c r="C33">
        <v>3</v>
      </c>
    </row>
    <row r="34" spans="1:3" x14ac:dyDescent="0.2">
      <c r="B34" s="3" t="s">
        <v>72</v>
      </c>
      <c r="C34">
        <v>9</v>
      </c>
    </row>
    <row r="35" spans="1:3" x14ac:dyDescent="0.2">
      <c r="B35" s="3" t="s">
        <v>73</v>
      </c>
      <c r="C35">
        <v>1</v>
      </c>
    </row>
    <row r="36" spans="1:3" x14ac:dyDescent="0.2">
      <c r="B36" s="3" t="s">
        <v>74</v>
      </c>
      <c r="C36">
        <v>6</v>
      </c>
    </row>
    <row r="37" spans="1:3" x14ac:dyDescent="0.2">
      <c r="B37" s="3" t="s">
        <v>75</v>
      </c>
      <c r="C37">
        <v>9</v>
      </c>
    </row>
    <row r="38" spans="1:3" x14ac:dyDescent="0.2">
      <c r="B38" s="3" t="s">
        <v>76</v>
      </c>
      <c r="C38">
        <v>9</v>
      </c>
    </row>
    <row r="39" spans="1:3" x14ac:dyDescent="0.2">
      <c r="B39" s="3" t="s">
        <v>77</v>
      </c>
      <c r="C39">
        <v>2</v>
      </c>
    </row>
    <row r="40" spans="1:3" x14ac:dyDescent="0.2">
      <c r="B40" s="3" t="s">
        <v>78</v>
      </c>
      <c r="C40">
        <v>9</v>
      </c>
    </row>
    <row r="41" spans="1:3" x14ac:dyDescent="0.2">
      <c r="B41" s="3" t="s">
        <v>5</v>
      </c>
      <c r="C41">
        <v>9</v>
      </c>
    </row>
    <row r="42" spans="1:3" x14ac:dyDescent="0.2">
      <c r="A42">
        <v>5</v>
      </c>
      <c r="B42" s="3" t="s">
        <v>79</v>
      </c>
      <c r="C42" t="s">
        <v>201</v>
      </c>
    </row>
    <row r="43" spans="1:3" x14ac:dyDescent="0.2">
      <c r="B43" s="3" t="s">
        <v>59</v>
      </c>
      <c r="C43" t="s">
        <v>201</v>
      </c>
    </row>
    <row r="44" spans="1:3" x14ac:dyDescent="0.2">
      <c r="B44" s="3" t="s">
        <v>80</v>
      </c>
      <c r="C44">
        <v>2</v>
      </c>
    </row>
    <row r="45" spans="1:3" x14ac:dyDescent="0.2">
      <c r="B45" s="3" t="s">
        <v>50</v>
      </c>
      <c r="C45">
        <v>3</v>
      </c>
    </row>
    <row r="46" spans="1:3" x14ac:dyDescent="0.2">
      <c r="B46" s="3" t="s">
        <v>81</v>
      </c>
      <c r="C46">
        <v>3</v>
      </c>
    </row>
    <row r="47" spans="1:3" x14ac:dyDescent="0.2">
      <c r="B47" s="3" t="s">
        <v>82</v>
      </c>
      <c r="C47">
        <v>5</v>
      </c>
    </row>
    <row r="48" spans="1:3" x14ac:dyDescent="0.2">
      <c r="B48" s="3" t="s">
        <v>83</v>
      </c>
      <c r="C48">
        <v>1</v>
      </c>
    </row>
    <row r="49" spans="1:3" x14ac:dyDescent="0.2">
      <c r="B49" s="3" t="s">
        <v>5</v>
      </c>
      <c r="C49">
        <v>9</v>
      </c>
    </row>
    <row r="50" spans="1:3" x14ac:dyDescent="0.2">
      <c r="A50">
        <v>6</v>
      </c>
      <c r="B50" s="3" t="s">
        <v>49</v>
      </c>
      <c r="C50">
        <v>1</v>
      </c>
    </row>
    <row r="51" spans="1:3" x14ac:dyDescent="0.2">
      <c r="B51" s="3" t="s">
        <v>84</v>
      </c>
      <c r="C51">
        <v>3</v>
      </c>
    </row>
    <row r="52" spans="1:3" x14ac:dyDescent="0.2">
      <c r="B52" s="3" t="s">
        <v>85</v>
      </c>
      <c r="C52">
        <v>3</v>
      </c>
    </row>
    <row r="53" spans="1:3" x14ac:dyDescent="0.2">
      <c r="B53" s="3" t="s">
        <v>86</v>
      </c>
      <c r="C53">
        <v>3</v>
      </c>
    </row>
    <row r="54" spans="1:3" x14ac:dyDescent="0.2">
      <c r="B54" s="3" t="s">
        <v>87</v>
      </c>
      <c r="C54">
        <v>5</v>
      </c>
    </row>
    <row r="55" spans="1:3" x14ac:dyDescent="0.2">
      <c r="B55" s="3" t="s">
        <v>88</v>
      </c>
      <c r="C55">
        <v>6</v>
      </c>
    </row>
    <row r="56" spans="1:3" x14ac:dyDescent="0.2">
      <c r="B56" s="3" t="s">
        <v>89</v>
      </c>
      <c r="C56">
        <v>9</v>
      </c>
    </row>
    <row r="57" spans="1:3" x14ac:dyDescent="0.2">
      <c r="B57" s="3" t="s">
        <v>5</v>
      </c>
      <c r="C57">
        <v>9</v>
      </c>
    </row>
    <row r="58" spans="1:3" x14ac:dyDescent="0.2">
      <c r="A58">
        <v>7</v>
      </c>
      <c r="B58" s="3" t="s">
        <v>49</v>
      </c>
      <c r="C58">
        <v>1</v>
      </c>
    </row>
    <row r="59" spans="1:3" x14ac:dyDescent="0.2">
      <c r="B59" s="3" t="s">
        <v>90</v>
      </c>
      <c r="C59">
        <v>2</v>
      </c>
    </row>
    <row r="60" spans="1:3" x14ac:dyDescent="0.2">
      <c r="B60" s="3" t="s">
        <v>84</v>
      </c>
      <c r="C60">
        <v>2</v>
      </c>
    </row>
    <row r="61" spans="1:3" x14ac:dyDescent="0.2">
      <c r="B61" s="3" t="s">
        <v>91</v>
      </c>
      <c r="C61">
        <v>3</v>
      </c>
    </row>
    <row r="62" spans="1:3" x14ac:dyDescent="0.2">
      <c r="B62" s="3" t="s">
        <v>92</v>
      </c>
      <c r="C62">
        <v>3</v>
      </c>
    </row>
    <row r="63" spans="1:3" x14ac:dyDescent="0.2">
      <c r="B63" s="3" t="s">
        <v>93</v>
      </c>
      <c r="C63">
        <v>5</v>
      </c>
    </row>
    <row r="64" spans="1:3" x14ac:dyDescent="0.2">
      <c r="B64" s="3" t="s">
        <v>94</v>
      </c>
      <c r="C64">
        <v>6</v>
      </c>
    </row>
    <row r="65" spans="1:3" x14ac:dyDescent="0.2">
      <c r="B65" s="3" t="s">
        <v>95</v>
      </c>
      <c r="C65">
        <v>9</v>
      </c>
    </row>
    <row r="66" spans="1:3" x14ac:dyDescent="0.2">
      <c r="B66" s="3" t="s">
        <v>96</v>
      </c>
      <c r="C66">
        <v>8</v>
      </c>
    </row>
    <row r="67" spans="1:3" x14ac:dyDescent="0.2">
      <c r="B67" s="3" t="s">
        <v>5</v>
      </c>
      <c r="C67">
        <v>9</v>
      </c>
    </row>
    <row r="68" spans="1:3" x14ac:dyDescent="0.2">
      <c r="A68">
        <v>8</v>
      </c>
      <c r="B68" s="3" t="s">
        <v>97</v>
      </c>
      <c r="C68">
        <v>1</v>
      </c>
    </row>
    <row r="69" spans="1:3" x14ac:dyDescent="0.2">
      <c r="B69" s="3" t="s">
        <v>98</v>
      </c>
      <c r="C69">
        <v>2</v>
      </c>
    </row>
    <row r="70" spans="1:3" x14ac:dyDescent="0.2">
      <c r="B70" s="3" t="s">
        <v>50</v>
      </c>
      <c r="C70">
        <v>3</v>
      </c>
    </row>
    <row r="71" spans="1:3" x14ac:dyDescent="0.2">
      <c r="B71" s="3" t="s">
        <v>99</v>
      </c>
      <c r="C71">
        <v>3</v>
      </c>
    </row>
    <row r="72" spans="1:3" x14ac:dyDescent="0.2">
      <c r="B72" s="3" t="s">
        <v>100</v>
      </c>
      <c r="C72">
        <v>5</v>
      </c>
    </row>
    <row r="73" spans="1:3" x14ac:dyDescent="0.2">
      <c r="B73" s="3" t="s">
        <v>101</v>
      </c>
      <c r="C73">
        <v>9</v>
      </c>
    </row>
    <row r="74" spans="1:3" x14ac:dyDescent="0.2">
      <c r="B74" s="3" t="s">
        <v>102</v>
      </c>
      <c r="C74">
        <v>6</v>
      </c>
    </row>
    <row r="75" spans="1:3" x14ac:dyDescent="0.2">
      <c r="B75" s="3" t="s">
        <v>5</v>
      </c>
      <c r="C75">
        <v>9</v>
      </c>
    </row>
    <row r="76" spans="1:3" x14ac:dyDescent="0.2">
      <c r="A76">
        <v>9</v>
      </c>
      <c r="B76" s="3" t="s">
        <v>103</v>
      </c>
      <c r="C76">
        <v>1</v>
      </c>
    </row>
    <row r="77" spans="1:3" x14ac:dyDescent="0.2">
      <c r="B77" s="3" t="s">
        <v>104</v>
      </c>
      <c r="C77">
        <v>2</v>
      </c>
    </row>
    <row r="78" spans="1:3" x14ac:dyDescent="0.2">
      <c r="B78" s="3" t="s">
        <v>105</v>
      </c>
      <c r="C78">
        <v>2</v>
      </c>
    </row>
    <row r="79" spans="1:3" x14ac:dyDescent="0.2">
      <c r="B79" s="3" t="s">
        <v>106</v>
      </c>
      <c r="C79">
        <v>3</v>
      </c>
    </row>
    <row r="80" spans="1:3" x14ac:dyDescent="0.2">
      <c r="B80" s="3" t="s">
        <v>107</v>
      </c>
      <c r="C80">
        <v>3</v>
      </c>
    </row>
    <row r="81" spans="1:3" x14ac:dyDescent="0.2">
      <c r="B81" s="3" t="s">
        <v>59</v>
      </c>
      <c r="C81" t="s">
        <v>201</v>
      </c>
    </row>
    <row r="82" spans="1:3" x14ac:dyDescent="0.2">
      <c r="B82" s="3" t="s">
        <v>108</v>
      </c>
      <c r="C82">
        <v>9</v>
      </c>
    </row>
    <row r="83" spans="1:3" x14ac:dyDescent="0.2">
      <c r="B83" s="3" t="s">
        <v>109</v>
      </c>
      <c r="C83">
        <v>5</v>
      </c>
    </row>
    <row r="84" spans="1:3" x14ac:dyDescent="0.2">
      <c r="B84" s="3" t="s">
        <v>110</v>
      </c>
      <c r="C84">
        <v>6</v>
      </c>
    </row>
    <row r="85" spans="1:3" x14ac:dyDescent="0.2">
      <c r="B85" s="3" t="s">
        <v>111</v>
      </c>
      <c r="C85">
        <v>2</v>
      </c>
    </row>
    <row r="86" spans="1:3" x14ac:dyDescent="0.2">
      <c r="B86" s="3" t="s">
        <v>112</v>
      </c>
      <c r="C86">
        <v>7</v>
      </c>
    </row>
    <row r="87" spans="1:3" x14ac:dyDescent="0.2">
      <c r="B87" s="3" t="s">
        <v>113</v>
      </c>
      <c r="C87">
        <v>3</v>
      </c>
    </row>
    <row r="88" spans="1:3" x14ac:dyDescent="0.2">
      <c r="B88" s="3" t="s">
        <v>114</v>
      </c>
      <c r="C88">
        <v>2</v>
      </c>
    </row>
    <row r="89" spans="1:3" x14ac:dyDescent="0.2">
      <c r="B89" s="3" t="s">
        <v>115</v>
      </c>
      <c r="C89">
        <v>2</v>
      </c>
    </row>
    <row r="90" spans="1:3" x14ac:dyDescent="0.2">
      <c r="B90" s="3" t="s">
        <v>116</v>
      </c>
      <c r="C90">
        <v>8</v>
      </c>
    </row>
    <row r="91" spans="1:3" x14ac:dyDescent="0.2">
      <c r="B91" s="3" t="s">
        <v>117</v>
      </c>
      <c r="C91">
        <v>9</v>
      </c>
    </row>
    <row r="92" spans="1:3" x14ac:dyDescent="0.2">
      <c r="B92" s="3" t="s">
        <v>118</v>
      </c>
      <c r="C92">
        <v>7</v>
      </c>
    </row>
    <row r="93" spans="1:3" x14ac:dyDescent="0.2">
      <c r="B93" s="3" t="s">
        <v>119</v>
      </c>
      <c r="C93">
        <v>3</v>
      </c>
    </row>
    <row r="94" spans="1:3" x14ac:dyDescent="0.2">
      <c r="B94" s="3" t="s">
        <v>5</v>
      </c>
      <c r="C94">
        <v>9</v>
      </c>
    </row>
    <row r="95" spans="1:3" x14ac:dyDescent="0.2">
      <c r="A95">
        <v>10</v>
      </c>
      <c r="B95" s="3" t="s">
        <v>49</v>
      </c>
      <c r="C95">
        <v>1</v>
      </c>
    </row>
    <row r="96" spans="1:3" x14ac:dyDescent="0.2">
      <c r="B96" s="3" t="s">
        <v>120</v>
      </c>
      <c r="C96">
        <v>2</v>
      </c>
    </row>
    <row r="97" spans="2:3" x14ac:dyDescent="0.2">
      <c r="B97" s="3" t="s">
        <v>121</v>
      </c>
      <c r="C97" t="s">
        <v>201</v>
      </c>
    </row>
    <row r="98" spans="2:3" x14ac:dyDescent="0.2">
      <c r="B98" s="3" t="s">
        <v>122</v>
      </c>
      <c r="C98" t="s">
        <v>201</v>
      </c>
    </row>
    <row r="99" spans="2:3" x14ac:dyDescent="0.2">
      <c r="B99" s="3" t="s">
        <v>50</v>
      </c>
      <c r="C99">
        <v>3</v>
      </c>
    </row>
    <row r="100" spans="2:3" x14ac:dyDescent="0.2">
      <c r="B100" s="3" t="s">
        <v>92</v>
      </c>
      <c r="C100">
        <v>3</v>
      </c>
    </row>
    <row r="101" spans="2:3" x14ac:dyDescent="0.2">
      <c r="B101" s="3" t="s">
        <v>123</v>
      </c>
      <c r="C101">
        <v>5</v>
      </c>
    </row>
    <row r="102" spans="2:3" x14ac:dyDescent="0.2">
      <c r="B102" s="3" t="s">
        <v>124</v>
      </c>
      <c r="C102">
        <v>6</v>
      </c>
    </row>
    <row r="103" spans="2:3" x14ac:dyDescent="0.2">
      <c r="B103" s="3" t="s">
        <v>125</v>
      </c>
      <c r="C103">
        <v>9</v>
      </c>
    </row>
    <row r="104" spans="2:3" x14ac:dyDescent="0.2">
      <c r="B104" s="3" t="s">
        <v>126</v>
      </c>
      <c r="C104">
        <v>9</v>
      </c>
    </row>
    <row r="105" spans="2:3" x14ac:dyDescent="0.2">
      <c r="B105" s="3" t="s">
        <v>5</v>
      </c>
      <c r="C105">
        <v>9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46F5B-AAB8-254C-AF3F-022073831A04}">
  <dimension ref="A1:E67"/>
  <sheetViews>
    <sheetView zoomScale="112" workbookViewId="0">
      <selection activeCell="C68" sqref="C68"/>
    </sheetView>
  </sheetViews>
  <sheetFormatPr baseColWidth="10" defaultRowHeight="16" x14ac:dyDescent="0.2"/>
  <cols>
    <col min="2" max="2" width="32.5" customWidth="1"/>
  </cols>
  <sheetData>
    <row r="1" spans="1:5" x14ac:dyDescent="0.2">
      <c r="A1" s="28" t="s">
        <v>176</v>
      </c>
      <c r="B1" s="28"/>
      <c r="C1" s="28"/>
    </row>
    <row r="2" spans="1:5" x14ac:dyDescent="0.2">
      <c r="A2">
        <v>2</v>
      </c>
      <c r="B2" s="5" t="s">
        <v>0</v>
      </c>
      <c r="C2" s="5">
        <v>1</v>
      </c>
      <c r="E2" s="5"/>
    </row>
    <row r="3" spans="1:5" x14ac:dyDescent="0.2">
      <c r="B3" s="5" t="s">
        <v>1</v>
      </c>
      <c r="C3" s="5">
        <v>2</v>
      </c>
      <c r="E3" s="5"/>
    </row>
    <row r="4" spans="1:5" x14ac:dyDescent="0.2">
      <c r="B4" s="5" t="s">
        <v>2</v>
      </c>
      <c r="C4" s="5">
        <v>3</v>
      </c>
      <c r="E4" s="5"/>
    </row>
    <row r="5" spans="1:5" x14ac:dyDescent="0.2">
      <c r="B5" s="5" t="s">
        <v>3</v>
      </c>
      <c r="C5" s="5">
        <v>14</v>
      </c>
      <c r="E5" s="5"/>
    </row>
    <row r="6" spans="1:5" x14ac:dyDescent="0.2">
      <c r="B6" s="5" t="s">
        <v>4</v>
      </c>
      <c r="C6" s="5">
        <v>13</v>
      </c>
      <c r="E6" s="5"/>
    </row>
    <row r="7" spans="1:5" x14ac:dyDescent="0.2">
      <c r="B7" s="5" t="s">
        <v>5</v>
      </c>
      <c r="C7" s="5">
        <v>14</v>
      </c>
      <c r="E7" s="5"/>
    </row>
    <row r="8" spans="1:5" x14ac:dyDescent="0.2">
      <c r="A8">
        <v>3</v>
      </c>
      <c r="B8" s="5" t="s">
        <v>6</v>
      </c>
      <c r="C8" s="5">
        <v>1</v>
      </c>
    </row>
    <row r="9" spans="1:5" x14ac:dyDescent="0.2">
      <c r="B9" s="5" t="s">
        <v>7</v>
      </c>
      <c r="C9" s="5">
        <v>2</v>
      </c>
    </row>
    <row r="10" spans="1:5" x14ac:dyDescent="0.2">
      <c r="B10" s="5" t="s">
        <v>8</v>
      </c>
      <c r="C10" s="5">
        <v>8</v>
      </c>
    </row>
    <row r="11" spans="1:5" x14ac:dyDescent="0.2">
      <c r="B11" s="5" t="s">
        <v>9</v>
      </c>
      <c r="C11" s="5">
        <v>14</v>
      </c>
    </row>
    <row r="12" spans="1:5" x14ac:dyDescent="0.2">
      <c r="B12" s="5" t="s">
        <v>10</v>
      </c>
      <c r="C12" s="5">
        <v>13</v>
      </c>
    </row>
    <row r="13" spans="1:5" x14ac:dyDescent="0.2">
      <c r="B13" s="5" t="s">
        <v>5</v>
      </c>
      <c r="C13" s="5">
        <v>14</v>
      </c>
    </row>
    <row r="14" spans="1:5" x14ac:dyDescent="0.2">
      <c r="A14">
        <v>4</v>
      </c>
      <c r="B14" s="5" t="s">
        <v>6</v>
      </c>
      <c r="C14" s="6">
        <v>1</v>
      </c>
    </row>
    <row r="15" spans="1:5" x14ac:dyDescent="0.2">
      <c r="B15" s="5" t="s">
        <v>11</v>
      </c>
      <c r="C15" s="6">
        <v>2</v>
      </c>
    </row>
    <row r="16" spans="1:5" x14ac:dyDescent="0.2">
      <c r="B16" s="5" t="s">
        <v>12</v>
      </c>
      <c r="C16" s="6">
        <v>3</v>
      </c>
    </row>
    <row r="17" spans="1:4" x14ac:dyDescent="0.2">
      <c r="B17" s="5" t="s">
        <v>13</v>
      </c>
      <c r="C17" s="6">
        <v>3</v>
      </c>
    </row>
    <row r="18" spans="1:4" x14ac:dyDescent="0.2">
      <c r="B18" s="5" t="s">
        <v>14</v>
      </c>
      <c r="C18" s="6">
        <v>12</v>
      </c>
    </row>
    <row r="19" spans="1:4" x14ac:dyDescent="0.2">
      <c r="B19" s="5" t="s">
        <v>15</v>
      </c>
      <c r="C19" s="6">
        <v>11</v>
      </c>
    </row>
    <row r="20" spans="1:4" x14ac:dyDescent="0.2">
      <c r="B20" s="5" t="s">
        <v>16</v>
      </c>
      <c r="C20" s="6">
        <v>14</v>
      </c>
      <c r="D20" s="6"/>
    </row>
    <row r="21" spans="1:4" x14ac:dyDescent="0.2">
      <c r="B21" s="5" t="s">
        <v>17</v>
      </c>
      <c r="C21" s="6">
        <v>10</v>
      </c>
      <c r="D21" s="6"/>
    </row>
    <row r="22" spans="1:4" x14ac:dyDescent="0.2">
      <c r="B22" s="5" t="s">
        <v>10</v>
      </c>
      <c r="C22" s="6">
        <v>13</v>
      </c>
      <c r="D22" s="6"/>
    </row>
    <row r="23" spans="1:4" x14ac:dyDescent="0.2">
      <c r="B23" s="5" t="s">
        <v>5</v>
      </c>
      <c r="C23" s="6">
        <v>14</v>
      </c>
      <c r="D23" s="6"/>
    </row>
    <row r="24" spans="1:4" x14ac:dyDescent="0.2">
      <c r="A24">
        <v>5</v>
      </c>
      <c r="B24" s="5" t="s">
        <v>18</v>
      </c>
      <c r="C24" s="6">
        <v>1</v>
      </c>
    </row>
    <row r="25" spans="1:4" x14ac:dyDescent="0.2">
      <c r="B25" s="5" t="s">
        <v>19</v>
      </c>
      <c r="C25" s="6">
        <v>2</v>
      </c>
    </row>
    <row r="26" spans="1:4" x14ac:dyDescent="0.2">
      <c r="B26" s="5" t="s">
        <v>20</v>
      </c>
      <c r="C26" s="6">
        <v>14</v>
      </c>
    </row>
    <row r="27" spans="1:4" x14ac:dyDescent="0.2">
      <c r="B27" s="5" t="s">
        <v>13</v>
      </c>
      <c r="C27" s="6">
        <v>3</v>
      </c>
    </row>
    <row r="28" spans="1:4" x14ac:dyDescent="0.2">
      <c r="B28" s="5" t="s">
        <v>10</v>
      </c>
      <c r="C28" s="6">
        <v>13</v>
      </c>
    </row>
    <row r="29" spans="1:4" x14ac:dyDescent="0.2">
      <c r="B29" s="5" t="s">
        <v>5</v>
      </c>
      <c r="C29" s="6">
        <v>14</v>
      </c>
    </row>
    <row r="30" spans="1:4" x14ac:dyDescent="0.2">
      <c r="A30">
        <v>6</v>
      </c>
      <c r="B30" s="5" t="s">
        <v>6</v>
      </c>
      <c r="C30" s="6">
        <v>1</v>
      </c>
    </row>
    <row r="31" spans="1:4" x14ac:dyDescent="0.2">
      <c r="B31" s="5" t="s">
        <v>21</v>
      </c>
      <c r="C31" s="6">
        <v>2</v>
      </c>
    </row>
    <row r="32" spans="1:4" x14ac:dyDescent="0.2">
      <c r="B32" s="5" t="s">
        <v>22</v>
      </c>
      <c r="C32" s="6">
        <v>3</v>
      </c>
    </row>
    <row r="33" spans="1:3" x14ac:dyDescent="0.2">
      <c r="B33" s="5" t="s">
        <v>23</v>
      </c>
      <c r="C33" s="6">
        <v>12</v>
      </c>
    </row>
    <row r="34" spans="1:3" x14ac:dyDescent="0.2">
      <c r="B34" s="5" t="s">
        <v>24</v>
      </c>
      <c r="C34" s="6">
        <v>5</v>
      </c>
    </row>
    <row r="35" spans="1:3" x14ac:dyDescent="0.2">
      <c r="B35" s="5" t="s">
        <v>25</v>
      </c>
      <c r="C35" s="6">
        <v>14</v>
      </c>
    </row>
    <row r="36" spans="1:3" x14ac:dyDescent="0.2">
      <c r="B36" s="5" t="s">
        <v>17</v>
      </c>
      <c r="C36" s="6">
        <v>10</v>
      </c>
    </row>
    <row r="37" spans="1:3" x14ac:dyDescent="0.2">
      <c r="B37" s="5" t="s">
        <v>10</v>
      </c>
      <c r="C37" s="6">
        <v>13</v>
      </c>
    </row>
    <row r="38" spans="1:3" x14ac:dyDescent="0.2">
      <c r="B38" s="5" t="s">
        <v>5</v>
      </c>
      <c r="C38" s="6">
        <v>14</v>
      </c>
    </row>
    <row r="39" spans="1:3" x14ac:dyDescent="0.2">
      <c r="A39">
        <v>7</v>
      </c>
      <c r="B39" s="5" t="s">
        <v>26</v>
      </c>
      <c r="C39" s="6">
        <v>2</v>
      </c>
    </row>
    <row r="40" spans="1:3" x14ac:dyDescent="0.2">
      <c r="B40" s="5" t="s">
        <v>27</v>
      </c>
      <c r="C40" s="6">
        <v>1</v>
      </c>
    </row>
    <row r="41" spans="1:3" x14ac:dyDescent="0.2">
      <c r="B41" s="5" t="s">
        <v>28</v>
      </c>
      <c r="C41" s="6">
        <v>12</v>
      </c>
    </row>
    <row r="42" spans="1:3" x14ac:dyDescent="0.2">
      <c r="B42" s="5" t="s">
        <v>29</v>
      </c>
      <c r="C42" s="6">
        <v>14</v>
      </c>
    </row>
    <row r="43" spans="1:3" x14ac:dyDescent="0.2">
      <c r="B43" s="5" t="s">
        <v>10</v>
      </c>
      <c r="C43" s="6">
        <v>13</v>
      </c>
    </row>
    <row r="44" spans="1:3" x14ac:dyDescent="0.2">
      <c r="B44" s="5" t="s">
        <v>5</v>
      </c>
      <c r="C44" s="6">
        <v>14</v>
      </c>
    </row>
    <row r="45" spans="1:3" x14ac:dyDescent="0.2">
      <c r="A45">
        <v>8</v>
      </c>
      <c r="B45" s="5" t="s">
        <v>30</v>
      </c>
      <c r="C45" s="6">
        <v>1</v>
      </c>
    </row>
    <row r="46" spans="1:3" x14ac:dyDescent="0.2">
      <c r="B46" s="5" t="s">
        <v>31</v>
      </c>
      <c r="C46" s="6">
        <v>2</v>
      </c>
    </row>
    <row r="47" spans="1:3" x14ac:dyDescent="0.2">
      <c r="B47" s="5" t="s">
        <v>13</v>
      </c>
      <c r="C47" s="6">
        <v>3</v>
      </c>
    </row>
    <row r="48" spans="1:3" x14ac:dyDescent="0.2">
      <c r="B48" s="5" t="s">
        <v>32</v>
      </c>
      <c r="C48" s="6">
        <v>6</v>
      </c>
    </row>
    <row r="49" spans="1:3" x14ac:dyDescent="0.2">
      <c r="B49" s="5" t="s">
        <v>33</v>
      </c>
      <c r="C49" s="6">
        <v>14</v>
      </c>
    </row>
    <row r="50" spans="1:3" x14ac:dyDescent="0.2">
      <c r="B50" s="5" t="s">
        <v>8</v>
      </c>
      <c r="C50" s="6">
        <v>8</v>
      </c>
    </row>
    <row r="51" spans="1:3" x14ac:dyDescent="0.2">
      <c r="B51" s="5" t="s">
        <v>10</v>
      </c>
      <c r="C51" s="6">
        <v>13</v>
      </c>
    </row>
    <row r="52" spans="1:3" x14ac:dyDescent="0.2">
      <c r="B52" s="5" t="s">
        <v>5</v>
      </c>
      <c r="C52" s="6">
        <v>14</v>
      </c>
    </row>
    <row r="53" spans="1:3" x14ac:dyDescent="0.2">
      <c r="A53">
        <v>9</v>
      </c>
      <c r="B53" s="5" t="s">
        <v>21</v>
      </c>
      <c r="C53" s="6">
        <v>2</v>
      </c>
    </row>
    <row r="54" spans="1:3" x14ac:dyDescent="0.2">
      <c r="B54" s="5" t="s">
        <v>27</v>
      </c>
      <c r="C54" s="6">
        <v>1</v>
      </c>
    </row>
    <row r="55" spans="1:3" x14ac:dyDescent="0.2">
      <c r="B55" s="5" t="s">
        <v>15</v>
      </c>
      <c r="C55" s="6">
        <v>11</v>
      </c>
    </row>
    <row r="56" spans="1:3" x14ac:dyDescent="0.2">
      <c r="B56" s="5" t="s">
        <v>34</v>
      </c>
      <c r="C56" s="6">
        <v>6</v>
      </c>
    </row>
    <row r="57" spans="1:3" x14ac:dyDescent="0.2">
      <c r="B57" s="5" t="s">
        <v>35</v>
      </c>
      <c r="C57" s="6">
        <v>5</v>
      </c>
    </row>
    <row r="58" spans="1:3" x14ac:dyDescent="0.2">
      <c r="B58" s="5" t="s">
        <v>10</v>
      </c>
      <c r="C58" s="6">
        <v>13</v>
      </c>
    </row>
    <row r="59" spans="1:3" x14ac:dyDescent="0.2">
      <c r="B59" s="5" t="s">
        <v>5</v>
      </c>
      <c r="C59" s="6">
        <v>14</v>
      </c>
    </row>
    <row r="60" spans="1:3" x14ac:dyDescent="0.2">
      <c r="A60">
        <v>10</v>
      </c>
      <c r="B60" s="5" t="s">
        <v>36</v>
      </c>
      <c r="C60" s="6">
        <v>1</v>
      </c>
    </row>
    <row r="61" spans="1:3" x14ac:dyDescent="0.2">
      <c r="B61" s="5" t="s">
        <v>37</v>
      </c>
      <c r="C61" s="6">
        <v>2</v>
      </c>
    </row>
    <row r="62" spans="1:3" x14ac:dyDescent="0.2">
      <c r="B62" s="5" t="s">
        <v>38</v>
      </c>
      <c r="C62" s="6">
        <v>2</v>
      </c>
    </row>
    <row r="63" spans="1:3" x14ac:dyDescent="0.2">
      <c r="B63" s="5" t="s">
        <v>39</v>
      </c>
      <c r="C63" s="6">
        <v>3</v>
      </c>
    </row>
    <row r="64" spans="1:3" x14ac:dyDescent="0.2">
      <c r="B64" s="5" t="s">
        <v>40</v>
      </c>
      <c r="C64" s="6">
        <v>7</v>
      </c>
    </row>
    <row r="65" spans="2:3" x14ac:dyDescent="0.2">
      <c r="B65" s="5" t="s">
        <v>41</v>
      </c>
      <c r="C65" s="6">
        <v>7</v>
      </c>
    </row>
    <row r="66" spans="2:3" x14ac:dyDescent="0.2">
      <c r="B66" s="5" t="s">
        <v>10</v>
      </c>
      <c r="C66" s="6">
        <v>13</v>
      </c>
    </row>
    <row r="67" spans="2:3" x14ac:dyDescent="0.2">
      <c r="B67" s="5" t="s">
        <v>5</v>
      </c>
      <c r="C67" s="6">
        <v>14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75ACE-1C52-D74C-A02B-D0BC0A695073}">
  <dimension ref="A1:E57"/>
  <sheetViews>
    <sheetView topLeftCell="A13" zoomScale="150" workbookViewId="0">
      <selection activeCell="C56" sqref="C56"/>
    </sheetView>
  </sheetViews>
  <sheetFormatPr baseColWidth="10" defaultRowHeight="16" x14ac:dyDescent="0.2"/>
  <cols>
    <col min="1" max="1" width="10.83203125" style="1"/>
    <col min="2" max="2" width="42" customWidth="1"/>
  </cols>
  <sheetData>
    <row r="1" spans="1:3" x14ac:dyDescent="0.2">
      <c r="A1" s="28" t="s">
        <v>175</v>
      </c>
      <c r="B1" s="28"/>
      <c r="C1" s="28"/>
    </row>
    <row r="2" spans="1:3" x14ac:dyDescent="0.2">
      <c r="A2" s="1">
        <v>2</v>
      </c>
      <c r="B2" s="3" t="s">
        <v>127</v>
      </c>
      <c r="C2" s="17">
        <v>1</v>
      </c>
    </row>
    <row r="3" spans="1:3" x14ac:dyDescent="0.2">
      <c r="B3" s="3" t="s">
        <v>128</v>
      </c>
      <c r="C3" s="17">
        <v>2</v>
      </c>
    </row>
    <row r="4" spans="1:3" x14ac:dyDescent="0.2">
      <c r="B4" s="3" t="s">
        <v>129</v>
      </c>
      <c r="C4" s="17">
        <v>3</v>
      </c>
    </row>
    <row r="5" spans="1:3" x14ac:dyDescent="0.2">
      <c r="B5" s="3" t="s">
        <v>130</v>
      </c>
      <c r="C5" s="17">
        <v>4</v>
      </c>
    </row>
    <row r="6" spans="1:3" x14ac:dyDescent="0.2">
      <c r="B6" s="3" t="s">
        <v>131</v>
      </c>
      <c r="C6" t="s">
        <v>201</v>
      </c>
    </row>
    <row r="7" spans="1:3" x14ac:dyDescent="0.2">
      <c r="B7" s="3" t="s">
        <v>132</v>
      </c>
      <c r="C7" s="17">
        <v>4</v>
      </c>
    </row>
    <row r="8" spans="1:3" x14ac:dyDescent="0.2">
      <c r="B8" s="3" t="s">
        <v>133</v>
      </c>
      <c r="C8" s="17">
        <v>8</v>
      </c>
    </row>
    <row r="9" spans="1:3" x14ac:dyDescent="0.2">
      <c r="B9" s="3" t="s">
        <v>5</v>
      </c>
      <c r="C9" s="17">
        <v>8</v>
      </c>
    </row>
    <row r="10" spans="1:3" x14ac:dyDescent="0.2">
      <c r="A10" s="1">
        <v>3</v>
      </c>
      <c r="B10" s="3" t="s">
        <v>127</v>
      </c>
      <c r="C10" s="17">
        <v>1</v>
      </c>
    </row>
    <row r="11" spans="1:3" x14ac:dyDescent="0.2">
      <c r="B11" s="3" t="s">
        <v>128</v>
      </c>
      <c r="C11" s="17">
        <v>2</v>
      </c>
    </row>
    <row r="12" spans="1:3" x14ac:dyDescent="0.2">
      <c r="B12" s="3" t="s">
        <v>134</v>
      </c>
      <c r="C12" s="17">
        <v>3</v>
      </c>
    </row>
    <row r="13" spans="1:3" x14ac:dyDescent="0.2">
      <c r="B13" s="3" t="s">
        <v>131</v>
      </c>
      <c r="C13" t="s">
        <v>201</v>
      </c>
    </row>
    <row r="14" spans="1:3" x14ac:dyDescent="0.2">
      <c r="B14" s="3" t="s">
        <v>135</v>
      </c>
      <c r="C14" t="s">
        <v>201</v>
      </c>
    </row>
    <row r="15" spans="1:3" x14ac:dyDescent="0.2">
      <c r="B15" s="3" t="s">
        <v>5</v>
      </c>
      <c r="C15" s="17">
        <v>8</v>
      </c>
    </row>
    <row r="16" spans="1:3" x14ac:dyDescent="0.2">
      <c r="A16" s="1">
        <v>4</v>
      </c>
      <c r="B16" s="3" t="s">
        <v>136</v>
      </c>
      <c r="C16" s="17">
        <v>1</v>
      </c>
    </row>
    <row r="17" spans="1:5" x14ac:dyDescent="0.2">
      <c r="B17" s="3" t="s">
        <v>137</v>
      </c>
      <c r="C17" s="17">
        <v>2</v>
      </c>
    </row>
    <row r="18" spans="1:5" x14ac:dyDescent="0.2">
      <c r="B18" s="3" t="s">
        <v>138</v>
      </c>
      <c r="C18" s="17">
        <v>3</v>
      </c>
    </row>
    <row r="19" spans="1:5" x14ac:dyDescent="0.2">
      <c r="B19" s="3" t="s">
        <v>139</v>
      </c>
      <c r="C19" t="s">
        <v>201</v>
      </c>
    </row>
    <row r="20" spans="1:5" x14ac:dyDescent="0.2">
      <c r="B20" s="3" t="s">
        <v>140</v>
      </c>
      <c r="C20" s="17">
        <v>6</v>
      </c>
    </row>
    <row r="21" spans="1:5" x14ac:dyDescent="0.2">
      <c r="B21" s="3" t="s">
        <v>130</v>
      </c>
      <c r="C21" s="17">
        <v>4</v>
      </c>
    </row>
    <row r="22" spans="1:5" x14ac:dyDescent="0.2">
      <c r="B22" s="3" t="s">
        <v>5</v>
      </c>
      <c r="C22" s="17">
        <v>8</v>
      </c>
    </row>
    <row r="23" spans="1:5" x14ac:dyDescent="0.2">
      <c r="A23" s="1">
        <v>5</v>
      </c>
      <c r="B23" s="3" t="s">
        <v>141</v>
      </c>
      <c r="C23" s="17">
        <v>1</v>
      </c>
    </row>
    <row r="24" spans="1:5" x14ac:dyDescent="0.2">
      <c r="B24" s="3" t="s">
        <v>128</v>
      </c>
      <c r="C24" s="17">
        <v>2</v>
      </c>
    </row>
    <row r="25" spans="1:5" x14ac:dyDescent="0.2">
      <c r="B25" s="3" t="s">
        <v>129</v>
      </c>
      <c r="C25" s="17">
        <v>3</v>
      </c>
      <c r="D25" s="17"/>
      <c r="E25" s="18"/>
    </row>
    <row r="26" spans="1:5" x14ac:dyDescent="0.2">
      <c r="B26" s="3" t="s">
        <v>131</v>
      </c>
      <c r="C26" t="s">
        <v>201</v>
      </c>
      <c r="D26" s="17"/>
      <c r="E26" s="18"/>
    </row>
    <row r="27" spans="1:5" x14ac:dyDescent="0.2">
      <c r="B27" s="3" t="s">
        <v>142</v>
      </c>
      <c r="C27" t="s">
        <v>201</v>
      </c>
      <c r="D27" s="17"/>
      <c r="E27" s="18"/>
    </row>
    <row r="28" spans="1:5" x14ac:dyDescent="0.2">
      <c r="B28" s="3" t="s">
        <v>5</v>
      </c>
      <c r="C28" s="17">
        <v>8</v>
      </c>
      <c r="D28" s="17"/>
      <c r="E28" s="18"/>
    </row>
    <row r="29" spans="1:5" x14ac:dyDescent="0.2">
      <c r="A29" s="1">
        <v>6</v>
      </c>
      <c r="B29" s="3" t="s">
        <v>141</v>
      </c>
      <c r="C29" s="17">
        <v>1</v>
      </c>
      <c r="D29" s="17"/>
      <c r="E29" s="18"/>
    </row>
    <row r="30" spans="1:5" x14ac:dyDescent="0.2">
      <c r="B30" s="3" t="s">
        <v>128</v>
      </c>
      <c r="C30" s="17">
        <v>2</v>
      </c>
      <c r="D30" s="17"/>
      <c r="E30" s="18"/>
    </row>
    <row r="31" spans="1:5" x14ac:dyDescent="0.2">
      <c r="B31" s="3" t="s">
        <v>143</v>
      </c>
      <c r="C31" s="17">
        <v>3</v>
      </c>
      <c r="D31" s="17"/>
      <c r="E31" s="18"/>
    </row>
    <row r="32" spans="1:5" x14ac:dyDescent="0.2">
      <c r="B32" s="3" t="s">
        <v>131</v>
      </c>
      <c r="C32" t="s">
        <v>201</v>
      </c>
      <c r="D32" s="17"/>
      <c r="E32" s="18"/>
    </row>
    <row r="33" spans="1:5" x14ac:dyDescent="0.2">
      <c r="B33" s="3" t="s">
        <v>144</v>
      </c>
      <c r="C33" s="17">
        <v>6</v>
      </c>
      <c r="D33" s="17"/>
      <c r="E33" s="18"/>
    </row>
    <row r="34" spans="1:5" x14ac:dyDescent="0.2">
      <c r="B34" s="3" t="s">
        <v>5</v>
      </c>
      <c r="C34" s="17">
        <v>8</v>
      </c>
      <c r="D34" s="17"/>
      <c r="E34" s="18"/>
    </row>
    <row r="35" spans="1:5" x14ac:dyDescent="0.2">
      <c r="A35" s="1">
        <v>7</v>
      </c>
      <c r="B35" s="3" t="s">
        <v>145</v>
      </c>
      <c r="C35" s="18">
        <v>1</v>
      </c>
    </row>
    <row r="36" spans="1:5" x14ac:dyDescent="0.2">
      <c r="B36" s="3" t="s">
        <v>146</v>
      </c>
      <c r="C36" s="18">
        <v>2</v>
      </c>
    </row>
    <row r="37" spans="1:5" x14ac:dyDescent="0.2">
      <c r="B37" s="3" t="s">
        <v>147</v>
      </c>
      <c r="C37" s="18">
        <v>3</v>
      </c>
    </row>
    <row r="38" spans="1:5" x14ac:dyDescent="0.2">
      <c r="B38" s="3" t="s">
        <v>148</v>
      </c>
      <c r="C38" s="18">
        <v>4</v>
      </c>
    </row>
    <row r="39" spans="1:5" x14ac:dyDescent="0.2">
      <c r="B39" s="3" t="s">
        <v>149</v>
      </c>
      <c r="C39" s="18">
        <v>6</v>
      </c>
    </row>
    <row r="40" spans="1:5" x14ac:dyDescent="0.2">
      <c r="B40" s="3" t="s">
        <v>150</v>
      </c>
      <c r="C40" s="18">
        <v>7</v>
      </c>
    </row>
    <row r="41" spans="1:5" x14ac:dyDescent="0.2">
      <c r="B41" s="3" t="s">
        <v>5</v>
      </c>
      <c r="C41" s="18">
        <v>8</v>
      </c>
    </row>
    <row r="42" spans="1:5" x14ac:dyDescent="0.2">
      <c r="A42" s="1">
        <v>8</v>
      </c>
      <c r="B42" s="3" t="s">
        <v>141</v>
      </c>
      <c r="C42" s="18">
        <v>1</v>
      </c>
    </row>
    <row r="43" spans="1:5" x14ac:dyDescent="0.2">
      <c r="B43" s="3" t="s">
        <v>128</v>
      </c>
      <c r="C43" s="18">
        <v>2</v>
      </c>
    </row>
    <row r="44" spans="1:5" x14ac:dyDescent="0.2">
      <c r="B44" s="3" t="s">
        <v>151</v>
      </c>
      <c r="C44" s="18">
        <v>3</v>
      </c>
    </row>
    <row r="45" spans="1:5" x14ac:dyDescent="0.2">
      <c r="B45" s="3" t="s">
        <v>152</v>
      </c>
      <c r="C45" s="18">
        <v>6</v>
      </c>
    </row>
    <row r="46" spans="1:5" x14ac:dyDescent="0.2">
      <c r="B46" s="3" t="s">
        <v>5</v>
      </c>
      <c r="C46" s="18">
        <v>8</v>
      </c>
    </row>
    <row r="47" spans="1:5" x14ac:dyDescent="0.2">
      <c r="A47" s="1">
        <v>9</v>
      </c>
      <c r="B47" s="3" t="s">
        <v>153</v>
      </c>
      <c r="C47" s="18">
        <v>1</v>
      </c>
    </row>
    <row r="48" spans="1:5" x14ac:dyDescent="0.2">
      <c r="B48" s="3" t="s">
        <v>128</v>
      </c>
      <c r="C48" s="18">
        <v>2</v>
      </c>
    </row>
    <row r="49" spans="1:3" x14ac:dyDescent="0.2">
      <c r="B49" s="3" t="s">
        <v>154</v>
      </c>
      <c r="C49" s="18">
        <v>3</v>
      </c>
    </row>
    <row r="50" spans="1:3" x14ac:dyDescent="0.2">
      <c r="B50" s="3" t="s">
        <v>155</v>
      </c>
      <c r="C50" s="18">
        <v>4</v>
      </c>
    </row>
    <row r="51" spans="1:3" x14ac:dyDescent="0.2">
      <c r="B51" s="3" t="s">
        <v>5</v>
      </c>
      <c r="C51" s="18">
        <v>8</v>
      </c>
    </row>
    <row r="52" spans="1:3" x14ac:dyDescent="0.2">
      <c r="A52" s="1">
        <v>10</v>
      </c>
      <c r="B52" s="3" t="s">
        <v>156</v>
      </c>
      <c r="C52" s="18">
        <v>1</v>
      </c>
    </row>
    <row r="53" spans="1:3" x14ac:dyDescent="0.2">
      <c r="B53" s="3" t="s">
        <v>157</v>
      </c>
      <c r="C53" s="18">
        <v>2</v>
      </c>
    </row>
    <row r="54" spans="1:3" x14ac:dyDescent="0.2">
      <c r="B54" s="3" t="s">
        <v>158</v>
      </c>
      <c r="C54" s="18">
        <v>3</v>
      </c>
    </row>
    <row r="55" spans="1:3" x14ac:dyDescent="0.2">
      <c r="B55" s="3" t="s">
        <v>159</v>
      </c>
      <c r="C55" s="18">
        <v>6</v>
      </c>
    </row>
    <row r="56" spans="1:3" x14ac:dyDescent="0.2">
      <c r="B56" s="3" t="s">
        <v>160</v>
      </c>
      <c r="C56" s="18">
        <v>8</v>
      </c>
    </row>
    <row r="57" spans="1:3" x14ac:dyDescent="0.2">
      <c r="B57" s="3" t="s">
        <v>5</v>
      </c>
      <c r="C57" s="18">
        <v>8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EA24F-988F-C747-8187-97CA0BD12F92}">
  <dimension ref="A1:K20"/>
  <sheetViews>
    <sheetView tabSelected="1" zoomScale="118" zoomScaleNormal="161" workbookViewId="0">
      <selection activeCell="J17" sqref="J17"/>
    </sheetView>
  </sheetViews>
  <sheetFormatPr baseColWidth="10" defaultRowHeight="16" x14ac:dyDescent="0.2"/>
  <cols>
    <col min="2" max="2" width="34.33203125" bestFit="1" customWidth="1"/>
    <col min="6" max="6" width="50" bestFit="1" customWidth="1"/>
    <col min="10" max="10" width="36.5" customWidth="1"/>
  </cols>
  <sheetData>
    <row r="1" spans="1:11" x14ac:dyDescent="0.2">
      <c r="A1" s="30" t="s">
        <v>162</v>
      </c>
      <c r="B1" s="31"/>
      <c r="C1" s="32"/>
      <c r="E1" s="29" t="s">
        <v>163</v>
      </c>
      <c r="F1" s="29"/>
      <c r="G1" s="29"/>
      <c r="I1" s="29" t="s">
        <v>164</v>
      </c>
      <c r="J1" s="29"/>
      <c r="K1" s="29"/>
    </row>
    <row r="2" spans="1:11" x14ac:dyDescent="0.2">
      <c r="A2" s="19" t="s">
        <v>173</v>
      </c>
      <c r="B2" s="19" t="s">
        <v>174</v>
      </c>
      <c r="C2" s="19" t="s">
        <v>161</v>
      </c>
      <c r="E2" s="19" t="s">
        <v>173</v>
      </c>
      <c r="F2" s="19" t="s">
        <v>174</v>
      </c>
      <c r="G2" s="19" t="s">
        <v>161</v>
      </c>
      <c r="I2" s="19" t="s">
        <v>173</v>
      </c>
      <c r="J2" s="19" t="s">
        <v>174</v>
      </c>
      <c r="K2" s="19" t="s">
        <v>161</v>
      </c>
    </row>
    <row r="3" spans="1:11" x14ac:dyDescent="0.2">
      <c r="A3" s="27">
        <v>1</v>
      </c>
      <c r="B3" s="22" t="s">
        <v>178</v>
      </c>
      <c r="C3" s="22">
        <f>COUNTIF(data!$C$2:$C$57, A3)</f>
        <v>8</v>
      </c>
      <c r="E3" s="27">
        <v>1</v>
      </c>
      <c r="F3" s="22" t="s">
        <v>192</v>
      </c>
      <c r="G3" s="22">
        <f>COUNTIF(RQ!$C$2:$C$57, E3)</f>
        <v>6</v>
      </c>
      <c r="I3" s="27">
        <v>1</v>
      </c>
      <c r="J3" s="22" t="s">
        <v>165</v>
      </c>
      <c r="K3" s="22">
        <f>COUNTIF(method!$C$2:$C$57, I3)</f>
        <v>9</v>
      </c>
    </row>
    <row r="4" spans="1:11" x14ac:dyDescent="0.2">
      <c r="A4" s="27">
        <v>2</v>
      </c>
      <c r="B4" s="22" t="s">
        <v>179</v>
      </c>
      <c r="C4" s="22">
        <f>COUNTIF(data!$C$2:$C$57, A4)</f>
        <v>8</v>
      </c>
      <c r="E4" s="27">
        <v>2</v>
      </c>
      <c r="F4" s="22" t="s">
        <v>193</v>
      </c>
      <c r="G4" s="22">
        <f>COUNTIF(RQ!$C$2:$C$57, E4)</f>
        <v>5</v>
      </c>
      <c r="I4" s="27">
        <v>2</v>
      </c>
      <c r="J4" s="22" t="s">
        <v>166</v>
      </c>
      <c r="K4" s="22">
        <f>COUNTIF(method!$C$2:$C$57, I4)</f>
        <v>9</v>
      </c>
    </row>
    <row r="5" spans="1:11" x14ac:dyDescent="0.2">
      <c r="A5" s="27">
        <v>3</v>
      </c>
      <c r="B5" s="22" t="s">
        <v>180</v>
      </c>
      <c r="C5" s="22">
        <f>COUNTIF(data!$C$2:$C$57, A5)</f>
        <v>6</v>
      </c>
      <c r="E5" s="27">
        <v>3</v>
      </c>
      <c r="F5" s="22" t="s">
        <v>194</v>
      </c>
      <c r="G5" s="23">
        <f>COUNTIF(RQ!$C$2:$C$57, E5)</f>
        <v>15</v>
      </c>
      <c r="I5" s="27">
        <v>3</v>
      </c>
      <c r="J5" s="22" t="s">
        <v>167</v>
      </c>
      <c r="K5" s="22">
        <f>COUNTIF(method!$C$2:$C$57, I5)</f>
        <v>9</v>
      </c>
    </row>
    <row r="6" spans="1:11" x14ac:dyDescent="0.2">
      <c r="A6" s="24">
        <v>4</v>
      </c>
      <c r="B6" s="21" t="s">
        <v>181</v>
      </c>
      <c r="C6" s="21">
        <f>COUNTIF(data!$C$2:$C$57, A6)</f>
        <v>0</v>
      </c>
      <c r="E6" s="24">
        <v>4</v>
      </c>
      <c r="F6" s="21" t="s">
        <v>195</v>
      </c>
      <c r="G6" s="21">
        <f>COUNTIF(RQ!$C$2:$C$57, E6)</f>
        <v>1</v>
      </c>
      <c r="I6" s="27">
        <v>4</v>
      </c>
      <c r="J6" s="22" t="s">
        <v>168</v>
      </c>
      <c r="K6" s="22">
        <f>COUNTIF(method!$C$2:$C$57, I6)</f>
        <v>5</v>
      </c>
    </row>
    <row r="7" spans="1:11" x14ac:dyDescent="0.2">
      <c r="A7" s="26">
        <v>5</v>
      </c>
      <c r="B7" s="25" t="s">
        <v>182</v>
      </c>
      <c r="C7" s="25">
        <f>COUNTIF(data!$C$2:$C$57, A7)</f>
        <v>2</v>
      </c>
      <c r="E7" s="27">
        <v>5</v>
      </c>
      <c r="F7" s="22" t="s">
        <v>198</v>
      </c>
      <c r="G7" s="22">
        <f>COUNTIF(RQ!$C$2:$C$57, E7)</f>
        <v>6</v>
      </c>
      <c r="I7" s="24">
        <v>5</v>
      </c>
      <c r="J7" s="21" t="s">
        <v>169</v>
      </c>
      <c r="K7" s="21">
        <f>COUNTIF(method!$C$2:$C$57, I7)</f>
        <v>0</v>
      </c>
    </row>
    <row r="8" spans="1:11" x14ac:dyDescent="0.2">
      <c r="A8" s="26">
        <v>6</v>
      </c>
      <c r="B8" s="25" t="s">
        <v>183</v>
      </c>
      <c r="C8" s="25">
        <f>COUNTIF(data!$C$2:$C$57, A8)</f>
        <v>2</v>
      </c>
      <c r="E8" s="27">
        <v>6</v>
      </c>
      <c r="F8" s="22" t="s">
        <v>199</v>
      </c>
      <c r="G8" s="22">
        <f>COUNTIF(RQ!$C$2:$C$57, E8)</f>
        <v>5</v>
      </c>
      <c r="I8" s="27">
        <v>6</v>
      </c>
      <c r="J8" s="22" t="s">
        <v>170</v>
      </c>
      <c r="K8" s="22">
        <f>COUNTIF(method!$C$2:$C$57, I8)</f>
        <v>5</v>
      </c>
    </row>
    <row r="9" spans="1:11" x14ac:dyDescent="0.2">
      <c r="A9" s="21">
        <v>7</v>
      </c>
      <c r="B9" s="21" t="s">
        <v>184</v>
      </c>
      <c r="C9" s="21">
        <f>COUNTIF(data!$C$2:$C$57, A9)</f>
        <v>0</v>
      </c>
      <c r="E9" s="21">
        <v>7</v>
      </c>
      <c r="F9" s="21" t="s">
        <v>196</v>
      </c>
      <c r="G9" s="21">
        <f>COUNTIF(RQ!$C$2:$C$57, E9)</f>
        <v>1</v>
      </c>
      <c r="I9" s="21">
        <v>7</v>
      </c>
      <c r="J9" s="21" t="s">
        <v>171</v>
      </c>
      <c r="K9" s="21">
        <f>COUNTIF(method!$C$2:$C$57, I9)</f>
        <v>1</v>
      </c>
    </row>
    <row r="10" spans="1:11" x14ac:dyDescent="0.2">
      <c r="A10" s="25">
        <v>8</v>
      </c>
      <c r="B10" s="25" t="s">
        <v>185</v>
      </c>
      <c r="C10" s="25">
        <f>COUNTIF(data!$C$2:$C$57, A10)</f>
        <v>2</v>
      </c>
      <c r="E10" s="21">
        <v>8</v>
      </c>
      <c r="F10" s="21" t="s">
        <v>197</v>
      </c>
      <c r="G10" s="21">
        <f>COUNTIF(RQ!$C$2:$C$57, E10)</f>
        <v>0</v>
      </c>
      <c r="I10" s="21">
        <v>8</v>
      </c>
      <c r="J10" s="21" t="s">
        <v>172</v>
      </c>
      <c r="K10" s="21">
        <f>COUNTIF(method!$C$2:$C$57, I10)</f>
        <v>11</v>
      </c>
    </row>
    <row r="11" spans="1:11" x14ac:dyDescent="0.2">
      <c r="A11" s="21">
        <v>9</v>
      </c>
      <c r="B11" s="21" t="s">
        <v>186</v>
      </c>
      <c r="C11" s="21">
        <f>COUNTIF(data!$C$2:$C$57, A11)</f>
        <v>0</v>
      </c>
      <c r="E11" s="21">
        <v>9</v>
      </c>
      <c r="F11" s="21" t="s">
        <v>191</v>
      </c>
      <c r="G11" s="21">
        <f>COUNTIF(RQ!$C$2:$C$57, E11)</f>
        <v>14</v>
      </c>
      <c r="I11" s="20" t="s">
        <v>201</v>
      </c>
      <c r="J11" s="20" t="s">
        <v>200</v>
      </c>
      <c r="K11" s="21">
        <f>COUNTIF(method!$C$2:$C$57, I11)</f>
        <v>7</v>
      </c>
    </row>
    <row r="12" spans="1:11" x14ac:dyDescent="0.2">
      <c r="A12" s="25">
        <v>10</v>
      </c>
      <c r="B12" s="25" t="s">
        <v>187</v>
      </c>
      <c r="C12" s="25">
        <f>COUNTIF(data!$C$2:$C$57, A12)</f>
        <v>2</v>
      </c>
      <c r="E12" s="21" t="s">
        <v>201</v>
      </c>
      <c r="F12" s="21" t="s">
        <v>200</v>
      </c>
      <c r="G12" s="21">
        <f>COUNTIF(RQ!$C$2:$C$57, E12)</f>
        <v>3</v>
      </c>
      <c r="I12" t="s">
        <v>205</v>
      </c>
      <c r="K12">
        <f>SUM(K3:K11)</f>
        <v>56</v>
      </c>
    </row>
    <row r="13" spans="1:11" x14ac:dyDescent="0.2">
      <c r="A13" s="25">
        <v>11</v>
      </c>
      <c r="B13" s="25" t="s">
        <v>188</v>
      </c>
      <c r="C13" s="25">
        <f>COUNTIF(data!$C$2:$C$57, A13)</f>
        <v>2</v>
      </c>
      <c r="E13" t="s">
        <v>205</v>
      </c>
      <c r="G13">
        <f>SUM(G3:G12)</f>
        <v>56</v>
      </c>
    </row>
    <row r="14" spans="1:11" x14ac:dyDescent="0.2">
      <c r="A14" s="25">
        <v>12</v>
      </c>
      <c r="B14" s="25" t="s">
        <v>189</v>
      </c>
      <c r="C14" s="25">
        <f>COUNTIF(data!$C$2:$C$57, A14)</f>
        <v>3</v>
      </c>
    </row>
    <row r="15" spans="1:11" x14ac:dyDescent="0.2">
      <c r="A15" s="20">
        <v>13</v>
      </c>
      <c r="B15" s="20" t="s">
        <v>190</v>
      </c>
      <c r="C15" s="20">
        <f>COUNTIF(data!$C$2:$C$57, A15)</f>
        <v>7</v>
      </c>
    </row>
    <row r="16" spans="1:11" x14ac:dyDescent="0.2">
      <c r="A16" s="21">
        <v>14</v>
      </c>
      <c r="B16" s="21" t="s">
        <v>191</v>
      </c>
      <c r="C16" s="21">
        <f>COUNTIF(data!$C$2:$C$57, A16)</f>
        <v>14</v>
      </c>
    </row>
    <row r="17" spans="1:11" x14ac:dyDescent="0.2">
      <c r="A17" s="20" t="s">
        <v>201</v>
      </c>
      <c r="B17" s="20" t="s">
        <v>200</v>
      </c>
      <c r="C17" s="20">
        <f>COUNTIF(data!$C$2:$C$57, A17)</f>
        <v>0</v>
      </c>
    </row>
    <row r="18" spans="1:11" x14ac:dyDescent="0.2">
      <c r="A18" s="35" t="s">
        <v>205</v>
      </c>
      <c r="B18" s="34"/>
      <c r="C18" s="34">
        <f>SUM(C3:C17)</f>
        <v>56</v>
      </c>
    </row>
    <row r="20" spans="1:11" ht="135" customHeight="1" x14ac:dyDescent="0.2">
      <c r="A20" s="33" t="s">
        <v>202</v>
      </c>
      <c r="B20" s="33"/>
      <c r="C20" s="33"/>
      <c r="E20" s="33" t="s">
        <v>203</v>
      </c>
      <c r="F20" s="33"/>
      <c r="G20" s="33"/>
      <c r="I20" s="33" t="s">
        <v>204</v>
      </c>
      <c r="J20" s="33"/>
      <c r="K20" s="33"/>
    </row>
  </sheetData>
  <mergeCells count="6">
    <mergeCell ref="I1:K1"/>
    <mergeCell ref="E1:G1"/>
    <mergeCell ref="A1:C1"/>
    <mergeCell ref="A20:C20"/>
    <mergeCell ref="E20:G20"/>
    <mergeCell ref="I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 Printing</vt:lpstr>
      <vt:lpstr>RQ</vt:lpstr>
      <vt:lpstr>data</vt:lpstr>
      <vt:lpstr>method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Seorin Kim</dc:creator>
  <cp:lastModifiedBy>Seorin Kim</cp:lastModifiedBy>
  <cp:lastPrinted>2025-04-17T13:23:32Z</cp:lastPrinted>
  <dcterms:created xsi:type="dcterms:W3CDTF">2025-04-17T13:05:49Z</dcterms:created>
  <dcterms:modified xsi:type="dcterms:W3CDTF">2025-04-22T15:55:48Z</dcterms:modified>
</cp:coreProperties>
</file>